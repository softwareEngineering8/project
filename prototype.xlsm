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경대수업\소프트웨어 엔지니어링\"/>
    </mc:Choice>
  </mc:AlternateContent>
  <bookViews>
    <workbookView xWindow="0" yWindow="0" windowWidth="28800" windowHeight="12285" activeTab="4"/>
  </bookViews>
  <sheets>
    <sheet name="장병DataBase" sheetId="3" r:id="rId1"/>
    <sheet name="특별휴가" sheetId="1" r:id="rId2"/>
    <sheet name="장병휴가 사용" sheetId="2" r:id="rId3"/>
    <sheet name="각장병 휴가 관리" sheetId="9" r:id="rId4"/>
    <sheet name="월별 한눈에 보기" sheetId="4" r:id="rId5"/>
    <sheet name="주단위 출타 장병" sheetId="5" r:id="rId6"/>
    <sheet name="인원 별 휴가 한번에 보기" sheetId="7" r:id="rId7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9" l="1"/>
  <c r="D33" i="4"/>
  <c r="D34" i="4" s="1"/>
  <c r="E33" i="4"/>
  <c r="E34" i="4" s="1"/>
  <c r="F33" i="4"/>
  <c r="F34" i="4" s="1"/>
  <c r="G33" i="4"/>
  <c r="G34" i="4" s="1"/>
  <c r="H33" i="4"/>
  <c r="H34" i="4" s="1"/>
  <c r="I33" i="4"/>
  <c r="I34" i="4" s="1"/>
  <c r="J33" i="4"/>
  <c r="J34" i="4" s="1"/>
  <c r="K33" i="4"/>
  <c r="K34" i="4" s="1"/>
  <c r="L33" i="4"/>
  <c r="L34" i="4" s="1"/>
  <c r="M33" i="4"/>
  <c r="M34" i="4" s="1"/>
  <c r="N33" i="4"/>
  <c r="N34" i="4" s="1"/>
  <c r="O33" i="4"/>
  <c r="O34" i="4" s="1"/>
  <c r="P33" i="4"/>
  <c r="P34" i="4" s="1"/>
  <c r="Q33" i="4"/>
  <c r="Q34" i="4" s="1"/>
  <c r="R33" i="4"/>
  <c r="R34" i="4" s="1"/>
  <c r="S33" i="4"/>
  <c r="S34" i="4" s="1"/>
  <c r="T33" i="4"/>
  <c r="T34" i="4" s="1"/>
  <c r="U33" i="4"/>
  <c r="U34" i="4" s="1"/>
  <c r="V33" i="4"/>
  <c r="V34" i="4" s="1"/>
  <c r="W33" i="4"/>
  <c r="W34" i="4" s="1"/>
  <c r="X33" i="4"/>
  <c r="X34" i="4" s="1"/>
  <c r="Y33" i="4"/>
  <c r="Y34" i="4" s="1"/>
  <c r="Z33" i="4"/>
  <c r="Z34" i="4" s="1"/>
  <c r="AA33" i="4"/>
  <c r="AA34" i="4" s="1"/>
  <c r="AB33" i="4"/>
  <c r="AB34" i="4" s="1"/>
  <c r="AC33" i="4"/>
  <c r="AC34" i="4" s="1"/>
  <c r="AD33" i="4"/>
  <c r="AD34" i="4" s="1"/>
  <c r="AE33" i="4"/>
  <c r="AE34" i="4" s="1"/>
  <c r="AF33" i="4"/>
  <c r="AF34" i="4" s="1"/>
  <c r="AG33" i="4"/>
  <c r="AG34" i="4" s="1"/>
  <c r="C33" i="4"/>
  <c r="C34" i="4" s="1"/>
  <c r="F1" i="3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8" i="9"/>
  <c r="Y8" i="9"/>
  <c r="Y9" i="9"/>
  <c r="Y10" i="9"/>
  <c r="Y11" i="9"/>
  <c r="Y12" i="9"/>
  <c r="V14" i="9"/>
  <c r="Z11" i="9"/>
  <c r="Z12" i="9"/>
  <c r="Y7" i="9"/>
  <c r="Z8" i="9"/>
  <c r="Z9" i="9"/>
  <c r="Z10" i="9"/>
  <c r="Z7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10" i="9"/>
  <c r="X6" i="9"/>
  <c r="G7" i="9"/>
  <c r="P9" i="9"/>
  <c r="P28" i="9"/>
  <c r="G1" i="2"/>
  <c r="H1" i="1"/>
  <c r="C2" i="4"/>
  <c r="D2" i="4" s="1"/>
  <c r="D1" i="4" s="1"/>
  <c r="U7" i="9" l="1"/>
  <c r="U8" i="9"/>
  <c r="U12" i="9"/>
  <c r="U11" i="9"/>
  <c r="U10" i="9"/>
  <c r="U9" i="9"/>
  <c r="X12" i="9"/>
  <c r="X11" i="9"/>
  <c r="C1" i="4"/>
  <c r="X9" i="9"/>
  <c r="X10" i="9"/>
  <c r="X8" i="9"/>
  <c r="X7" i="9"/>
  <c r="E2" i="4"/>
  <c r="E1" i="4" s="1"/>
  <c r="W7" i="9" l="1"/>
  <c r="V8" i="9" s="1"/>
  <c r="W14" i="9"/>
  <c r="F2" i="4"/>
  <c r="F1" i="4" s="1"/>
  <c r="W8" i="9" l="1"/>
  <c r="V9" i="9" s="1"/>
  <c r="W9" i="9" s="1"/>
  <c r="V10" i="9" s="1"/>
  <c r="W10" i="9" s="1"/>
  <c r="V11" i="9" s="1"/>
  <c r="G2" i="4"/>
  <c r="G1" i="4" s="1"/>
  <c r="W11" i="9" l="1"/>
  <c r="V12" i="9" s="1"/>
  <c r="W12" i="9" s="1"/>
  <c r="H2" i="4"/>
  <c r="H1" i="4" s="1"/>
  <c r="I2" i="4" l="1"/>
  <c r="I1" i="4" s="1"/>
  <c r="J2" i="4" l="1"/>
  <c r="J1" i="4" s="1"/>
  <c r="K2" i="4" l="1"/>
  <c r="K1" i="4" s="1"/>
  <c r="L2" i="4" l="1"/>
  <c r="L1" i="4" s="1"/>
  <c r="M2" i="4" l="1"/>
  <c r="M1" i="4" s="1"/>
  <c r="N2" i="4" l="1"/>
  <c r="N1" i="4" s="1"/>
  <c r="O2" i="4" l="1"/>
  <c r="O1" i="4" s="1"/>
  <c r="P2" i="4" l="1"/>
  <c r="P1" i="4" s="1"/>
  <c r="Q2" i="4" l="1"/>
  <c r="Q1" i="4" s="1"/>
  <c r="R2" i="4" l="1"/>
  <c r="R1" i="4" s="1"/>
  <c r="S2" i="4" l="1"/>
  <c r="S1" i="4" s="1"/>
  <c r="T2" i="4" l="1"/>
  <c r="T1" i="4" s="1"/>
  <c r="U2" i="4" l="1"/>
  <c r="U1" i="4" s="1"/>
  <c r="V2" i="4" l="1"/>
  <c r="V1" i="4" s="1"/>
  <c r="W2" i="4" l="1"/>
  <c r="W1" i="4" s="1"/>
  <c r="X2" i="4" l="1"/>
  <c r="X1" i="4" s="1"/>
  <c r="Y2" i="4" l="1"/>
  <c r="Y1" i="4" s="1"/>
  <c r="Z2" i="4" l="1"/>
  <c r="Z1" i="4" s="1"/>
  <c r="AA2" i="4" l="1"/>
  <c r="AA1" i="4" s="1"/>
  <c r="AB2" i="4" l="1"/>
  <c r="AB1" i="4" s="1"/>
  <c r="AC2" i="4" l="1"/>
  <c r="AC1" i="4" s="1"/>
  <c r="AD2" i="4" l="1"/>
  <c r="AD1" i="4" s="1"/>
  <c r="AE2" i="4" l="1"/>
  <c r="AE1" i="4" s="1"/>
  <c r="AF2" i="4" l="1"/>
  <c r="AF1" i="4" s="1"/>
  <c r="AG2" i="4" l="1"/>
  <c r="AG1" i="4" s="1"/>
</calcChain>
</file>

<file path=xl/sharedStrings.xml><?xml version="1.0" encoding="utf-8"?>
<sst xmlns="http://schemas.openxmlformats.org/spreadsheetml/2006/main" count="233" uniqueCount="179">
  <si>
    <t>특별휴가ID</t>
    <phoneticPr fontId="2" type="noConversion"/>
  </si>
  <si>
    <t>특별휴가이름</t>
    <phoneticPr fontId="2" type="noConversion"/>
  </si>
  <si>
    <t>기간</t>
    <phoneticPr fontId="2" type="noConversion"/>
  </si>
  <si>
    <t>군번</t>
    <phoneticPr fontId="2" type="noConversion"/>
  </si>
  <si>
    <t>받은 날짜</t>
    <phoneticPr fontId="2" type="noConversion"/>
  </si>
  <si>
    <t>번호</t>
    <phoneticPr fontId="2" type="noConversion"/>
  </si>
  <si>
    <t>이름</t>
    <phoneticPr fontId="2" type="noConversion"/>
  </si>
  <si>
    <t>군번</t>
    <phoneticPr fontId="2" type="noConversion"/>
  </si>
  <si>
    <t>입대일</t>
    <phoneticPr fontId="2" type="noConversion"/>
  </si>
  <si>
    <t>전역일</t>
    <phoneticPr fontId="2" type="noConversion"/>
  </si>
  <si>
    <t>병사1</t>
    <phoneticPr fontId="2" type="noConversion"/>
  </si>
  <si>
    <t>병사18</t>
  </si>
  <si>
    <t>병사19</t>
  </si>
  <si>
    <t>병사20</t>
  </si>
  <si>
    <t>병사21</t>
  </si>
  <si>
    <t>병사22</t>
  </si>
  <si>
    <t>병사23</t>
  </si>
  <si>
    <t>병사24</t>
  </si>
  <si>
    <t>병사25</t>
  </si>
  <si>
    <t>병사26</t>
  </si>
  <si>
    <t>병사27</t>
  </si>
  <si>
    <t>병사28</t>
  </si>
  <si>
    <t>병사29</t>
  </si>
  <si>
    <t>병사30</t>
  </si>
  <si>
    <t>병사2</t>
  </si>
  <si>
    <t>병사3</t>
  </si>
  <si>
    <t>병사4</t>
  </si>
  <si>
    <t>병사5</t>
  </si>
  <si>
    <t>병사6</t>
  </si>
  <si>
    <t>병사7</t>
  </si>
  <si>
    <t>병사8</t>
  </si>
  <si>
    <t>병사9</t>
  </si>
  <si>
    <t>병사10</t>
  </si>
  <si>
    <t>병사11</t>
  </si>
  <si>
    <t>병사12</t>
  </si>
  <si>
    <t>병사13</t>
  </si>
  <si>
    <t>병사14</t>
  </si>
  <si>
    <t>병사15</t>
  </si>
  <si>
    <t>병사16</t>
  </si>
  <si>
    <t>병사17</t>
  </si>
  <si>
    <t>17-72014388</t>
  </si>
  <si>
    <t>17-72014389</t>
  </si>
  <si>
    <t>17-72014390</t>
  </si>
  <si>
    <t>17-72014391</t>
  </si>
  <si>
    <t>17-72014392</t>
  </si>
  <si>
    <t>17-72014393</t>
  </si>
  <si>
    <t>17-72014394</t>
  </si>
  <si>
    <t>17-72014395</t>
  </si>
  <si>
    <t>17-72014396</t>
  </si>
  <si>
    <t>17-72014397</t>
  </si>
  <si>
    <t>17-72014398</t>
  </si>
  <si>
    <t>17-72014399</t>
  </si>
  <si>
    <t>17-72014400</t>
  </si>
  <si>
    <t>17-72014401</t>
  </si>
  <si>
    <t>17-72014402</t>
  </si>
  <si>
    <t>17-72014403</t>
  </si>
  <si>
    <t>17-72014404</t>
  </si>
  <si>
    <t>17-72014405</t>
  </si>
  <si>
    <t>17-72014406</t>
  </si>
  <si>
    <t>17-72014407</t>
  </si>
  <si>
    <t>17-72014408</t>
  </si>
  <si>
    <t>17-72014409</t>
  </si>
  <si>
    <t>17-72014410</t>
  </si>
  <si>
    <t>17-72014411</t>
  </si>
  <si>
    <t>17-72014412</t>
  </si>
  <si>
    <t>17-72014413</t>
  </si>
  <si>
    <t>17-72014414</t>
  </si>
  <si>
    <t>17-72014415</t>
  </si>
  <si>
    <t>17-72014416</t>
  </si>
  <si>
    <t>17-72014417</t>
  </si>
  <si>
    <t>17-72014388</t>
    <phoneticPr fontId="2" type="noConversion"/>
  </si>
  <si>
    <t>사용휴가ID</t>
    <phoneticPr fontId="2" type="noConversion"/>
  </si>
  <si>
    <t>군번</t>
    <phoneticPr fontId="2" type="noConversion"/>
  </si>
  <si>
    <t>출발날짜</t>
    <phoneticPr fontId="2" type="noConversion"/>
  </si>
  <si>
    <t>복귀날짜</t>
    <phoneticPr fontId="2" type="noConversion"/>
  </si>
  <si>
    <t>연가</t>
    <phoneticPr fontId="2" type="noConversion"/>
  </si>
  <si>
    <t>특별휴가</t>
    <phoneticPr fontId="2" type="noConversion"/>
  </si>
  <si>
    <t>ID</t>
    <phoneticPr fontId="2" type="noConversion"/>
  </si>
  <si>
    <t>받은날짜</t>
    <phoneticPr fontId="2" type="noConversion"/>
  </si>
  <si>
    <t>month</t>
    <phoneticPr fontId="2" type="noConversion"/>
  </si>
  <si>
    <t>군번</t>
    <phoneticPr fontId="2" type="noConversion"/>
  </si>
  <si>
    <t>Add Special Vacation</t>
    <phoneticPr fontId="2" type="noConversion"/>
  </si>
  <si>
    <t>신병위로외박</t>
  </si>
  <si>
    <t>Vacation</t>
    <phoneticPr fontId="2" type="noConversion"/>
  </si>
  <si>
    <t>Period</t>
    <phoneticPr fontId="2" type="noConversion"/>
  </si>
  <si>
    <t>Depart</t>
    <phoneticPr fontId="2" type="noConversion"/>
  </si>
  <si>
    <t>Arrive</t>
    <phoneticPr fontId="2" type="noConversion"/>
  </si>
  <si>
    <t>No</t>
    <phoneticPr fontId="2" type="noConversion"/>
  </si>
  <si>
    <t>No</t>
    <phoneticPr fontId="2" type="noConversion"/>
  </si>
  <si>
    <t>Vacation</t>
    <phoneticPr fontId="2" type="noConversion"/>
  </si>
  <si>
    <t>Period</t>
    <phoneticPr fontId="2" type="noConversion"/>
  </si>
  <si>
    <t>Used</t>
    <phoneticPr fontId="2" type="noConversion"/>
  </si>
  <si>
    <t>남은 연가</t>
    <phoneticPr fontId="2" type="noConversion"/>
  </si>
  <si>
    <t>No</t>
    <phoneticPr fontId="2" type="noConversion"/>
  </si>
  <si>
    <t>Vacation</t>
    <phoneticPr fontId="2" type="noConversion"/>
  </si>
  <si>
    <t>출타인원</t>
    <phoneticPr fontId="2" type="noConversion"/>
  </si>
  <si>
    <t>출타율</t>
    <phoneticPr fontId="2" type="noConversion"/>
  </si>
  <si>
    <t>year</t>
    <phoneticPr fontId="2" type="noConversion"/>
  </si>
  <si>
    <t>Used</t>
    <phoneticPr fontId="2" type="noConversion"/>
  </si>
  <si>
    <t>비고(Note)</t>
    <phoneticPr fontId="2" type="noConversion"/>
  </si>
  <si>
    <t>비고(Note)</t>
    <phoneticPr fontId="2" type="noConversion"/>
  </si>
  <si>
    <t>신병</t>
  </si>
  <si>
    <t>대대장포상</t>
  </si>
  <si>
    <t>혹한기 훈련포상</t>
  </si>
  <si>
    <t>17-72014388</t>
    <phoneticPr fontId="2" type="noConversion"/>
  </si>
  <si>
    <t>Vaca Name</t>
    <phoneticPr fontId="2" type="noConversion"/>
  </si>
  <si>
    <t>총 휴가 기간</t>
    <phoneticPr fontId="2" type="noConversion"/>
  </si>
  <si>
    <t>ID</t>
    <phoneticPr fontId="2" type="noConversion"/>
  </si>
  <si>
    <t>[특별휴가] 신병위로외박</t>
  </si>
  <si>
    <t>[특별휴가] 대대장포상</t>
  </si>
  <si>
    <t>[연가] 6</t>
  </si>
  <si>
    <t>NAME</t>
    <phoneticPr fontId="2" type="noConversion"/>
  </si>
  <si>
    <t>연대장포상휴가</t>
  </si>
  <si>
    <t>동원훈련</t>
  </si>
  <si>
    <t>몰라</t>
  </si>
  <si>
    <t>Used Vaction</t>
    <phoneticPr fontId="2" type="noConversion"/>
  </si>
  <si>
    <t>[특별휴가] 연대장포상휴가</t>
  </si>
  <si>
    <t>상점포상</t>
  </si>
  <si>
    <t>remained</t>
    <phoneticPr fontId="2" type="noConversion"/>
  </si>
  <si>
    <t>vacation name</t>
  </si>
  <si>
    <t>vacation name</t>
    <phoneticPr fontId="2" type="noConversion"/>
  </si>
  <si>
    <t>note about this</t>
  </si>
  <si>
    <t>note about this</t>
    <phoneticPr fontId="2" type="noConversion"/>
  </si>
  <si>
    <t>[특별휴가] vacation name</t>
  </si>
  <si>
    <t>table1</t>
    <phoneticPr fontId="2" type="noConversion"/>
  </si>
  <si>
    <t>table2</t>
    <phoneticPr fontId="2" type="noConversion"/>
  </si>
  <si>
    <t>table4</t>
    <phoneticPr fontId="2" type="noConversion"/>
  </si>
  <si>
    <t>table3</t>
    <phoneticPr fontId="2" type="noConversion"/>
  </si>
  <si>
    <t>sat</t>
    <phoneticPr fontId="2" type="noConversion"/>
  </si>
  <si>
    <t>sun</t>
    <phoneticPr fontId="2" type="noConversion"/>
  </si>
  <si>
    <t>병사1</t>
    <phoneticPr fontId="2" type="noConversion"/>
  </si>
  <si>
    <t>[연가] 5</t>
  </si>
  <si>
    <t>출</t>
    <phoneticPr fontId="2" type="noConversion"/>
  </si>
  <si>
    <t>휴</t>
    <phoneticPr fontId="2" type="noConversion"/>
  </si>
  <si>
    <t>휴</t>
    <phoneticPr fontId="2" type="noConversion"/>
  </si>
  <si>
    <t>휴</t>
    <phoneticPr fontId="2" type="noConversion"/>
  </si>
  <si>
    <t>복</t>
    <phoneticPr fontId="2" type="noConversion"/>
  </si>
  <si>
    <t>출</t>
    <phoneticPr fontId="2" type="noConversion"/>
  </si>
  <si>
    <t>휴</t>
    <phoneticPr fontId="2" type="noConversion"/>
  </si>
  <si>
    <t>복</t>
    <phoneticPr fontId="2" type="noConversion"/>
  </si>
  <si>
    <t>출</t>
    <phoneticPr fontId="2" type="noConversion"/>
  </si>
  <si>
    <t>휴</t>
    <phoneticPr fontId="2" type="noConversion"/>
  </si>
  <si>
    <t>휴</t>
    <phoneticPr fontId="2" type="noConversion"/>
  </si>
  <si>
    <t>복</t>
    <phoneticPr fontId="2" type="noConversion"/>
  </si>
  <si>
    <t>휴</t>
    <phoneticPr fontId="2" type="noConversion"/>
  </si>
  <si>
    <t>휴</t>
    <phoneticPr fontId="2" type="noConversion"/>
  </si>
  <si>
    <t>name</t>
    <phoneticPr fontId="2" type="noConversion"/>
  </si>
  <si>
    <t>soldier1</t>
    <phoneticPr fontId="2" type="noConversion"/>
  </si>
  <si>
    <t>soldier2</t>
  </si>
  <si>
    <t>soldier3</t>
  </si>
  <si>
    <t>soldier4</t>
  </si>
  <si>
    <t>soldier5</t>
  </si>
  <si>
    <t>soldier6</t>
  </si>
  <si>
    <t>soldier7</t>
  </si>
  <si>
    <t>soldier8</t>
  </si>
  <si>
    <t>soldier9</t>
  </si>
  <si>
    <t>soldier10</t>
  </si>
  <si>
    <t>soldier11</t>
  </si>
  <si>
    <t>soldier12</t>
  </si>
  <si>
    <t>soldier13</t>
  </si>
  <si>
    <t>soldier14</t>
  </si>
  <si>
    <t>soldier15</t>
  </si>
  <si>
    <t>soldier16</t>
  </si>
  <si>
    <t>soldier17</t>
  </si>
  <si>
    <t>soldier18</t>
  </si>
  <si>
    <t>soldier19</t>
  </si>
  <si>
    <t>soldier20</t>
  </si>
  <si>
    <t>soldier21</t>
  </si>
  <si>
    <t>soldier22</t>
  </si>
  <si>
    <t>soldier23</t>
  </si>
  <si>
    <t>soldier24</t>
  </si>
  <si>
    <t>soldier25</t>
  </si>
  <si>
    <t>soldier26</t>
  </si>
  <si>
    <t>soldier27</t>
  </si>
  <si>
    <t>soldier28</t>
  </si>
  <si>
    <t>soldier29</t>
  </si>
  <si>
    <t>soldier30</t>
  </si>
  <si>
    <t>on vacation</t>
    <phoneticPr fontId="2" type="noConversion"/>
  </si>
  <si>
    <t>on vacation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</si>
</sst>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mm&quot;월&quot;\ dd&quot;일&quot;"/>
    <numFmt numFmtId="177" formatCode="mmdd"/>
    <numFmt numFmtId="178" formatCode="yy\/mm\/dd"/>
    <numFmt numFmtId="179" formatCode="0_);[Red]\(0\)"/>
    <numFmt numFmtId="180" formatCode="0.0%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20"/>
      <color theme="0"/>
      <name val="HY강B"/>
      <family val="1"/>
      <charset val="129"/>
    </font>
    <font>
      <b/>
      <sz val="2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8"/>
      <color theme="1"/>
      <name val="HY견고딕"/>
      <family val="1"/>
      <charset val="129"/>
    </font>
    <font>
      <sz val="11"/>
      <color theme="0" tint="-0.34998626667073579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E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3F08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28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13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5" borderId="1" xfId="0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10" borderId="0" xfId="0" applyFill="1">
      <alignment vertical="center"/>
    </xf>
    <xf numFmtId="177" fontId="0" fillId="8" borderId="1" xfId="0" applyNumberFormat="1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6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8" fontId="0" fillId="7" borderId="1" xfId="0" applyNumberFormat="1" applyFill="1" applyBorder="1" applyAlignment="1">
      <alignment vertical="center"/>
    </xf>
    <xf numFmtId="178" fontId="0" fillId="0" borderId="0" xfId="0" applyNumberFormat="1">
      <alignment vertical="center"/>
    </xf>
    <xf numFmtId="0" fontId="0" fillId="0" borderId="8" xfId="0" applyBorder="1" applyAlignment="1">
      <alignment horizontal="left" vertical="center"/>
    </xf>
    <xf numFmtId="55" fontId="0" fillId="0" borderId="1" xfId="0" applyNumberFormat="1" applyBorder="1" applyAlignment="1">
      <alignment horizontal="center" vertical="center"/>
    </xf>
    <xf numFmtId="180" fontId="0" fillId="0" borderId="1" xfId="0" applyNumberFormat="1" applyBorder="1">
      <alignment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55" fontId="0" fillId="0" borderId="17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vertical="center"/>
    </xf>
    <xf numFmtId="55" fontId="0" fillId="0" borderId="20" xfId="0" applyNumberFormat="1" applyBorder="1" applyAlignment="1">
      <alignment horizontal="center" vertical="center"/>
    </xf>
    <xf numFmtId="55" fontId="0" fillId="0" borderId="21" xfId="0" applyNumberFormat="1" applyBorder="1" applyAlignment="1">
      <alignment horizontal="center" vertical="center"/>
    </xf>
    <xf numFmtId="0" fontId="7" fillId="10" borderId="0" xfId="0" applyFont="1" applyFill="1">
      <alignment vertical="center"/>
    </xf>
    <xf numFmtId="0" fontId="1" fillId="10" borderId="0" xfId="0" applyFont="1" applyFill="1">
      <alignment vertical="center"/>
    </xf>
    <xf numFmtId="0" fontId="0" fillId="8" borderId="16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4" fontId="0" fillId="0" borderId="20" xfId="0" applyNumberForma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0" xfId="0" applyBorder="1">
      <alignment vertical="center"/>
    </xf>
    <xf numFmtId="0" fontId="0" fillId="9" borderId="17" xfId="0" applyFill="1" applyBorder="1" applyAlignment="1">
      <alignment horizontal="center" vertical="center"/>
    </xf>
    <xf numFmtId="178" fontId="0" fillId="7" borderId="20" xfId="0" applyNumberFormat="1" applyFill="1" applyBorder="1" applyAlignment="1">
      <alignment vertical="center"/>
    </xf>
    <xf numFmtId="178" fontId="0" fillId="0" borderId="21" xfId="0" applyNumberFormat="1" applyBorder="1" applyAlignment="1">
      <alignment vertical="center"/>
    </xf>
    <xf numFmtId="0" fontId="0" fillId="5" borderId="8" xfId="0" applyFill="1" applyBorder="1" applyAlignment="1">
      <alignment vertical="center"/>
    </xf>
    <xf numFmtId="0" fontId="0" fillId="10" borderId="0" xfId="0" applyFill="1" applyBorder="1">
      <alignment vertical="center"/>
    </xf>
    <xf numFmtId="0" fontId="0" fillId="10" borderId="0" xfId="0" applyFill="1" applyBorder="1" applyAlignment="1">
      <alignment vertical="center"/>
    </xf>
    <xf numFmtId="178" fontId="0" fillId="2" borderId="1" xfId="0" applyNumberFormat="1" applyFill="1" applyBorder="1" applyAlignment="1">
      <alignment vertical="center"/>
    </xf>
    <xf numFmtId="178" fontId="0" fillId="7" borderId="17" xfId="0" applyNumberFormat="1" applyFill="1" applyBorder="1" applyAlignment="1">
      <alignment vertical="center"/>
    </xf>
    <xf numFmtId="0" fontId="5" fillId="9" borderId="33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5" fillId="9" borderId="31" xfId="0" applyFont="1" applyFill="1" applyBorder="1" applyAlignment="1">
      <alignment horizontal="center" vertical="center"/>
    </xf>
    <xf numFmtId="0" fontId="0" fillId="8" borderId="18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179" fontId="7" fillId="10" borderId="0" xfId="0" applyNumberFormat="1" applyFont="1" applyFill="1" applyBorder="1" applyAlignment="1">
      <alignment vertical="center"/>
    </xf>
    <xf numFmtId="0" fontId="0" fillId="0" borderId="12" xfId="0" applyBorder="1" applyAlignment="1">
      <alignment horizontal="center" vertical="center"/>
    </xf>
    <xf numFmtId="0" fontId="8" fillId="12" borderId="12" xfId="0" applyFont="1" applyFill="1" applyBorder="1" applyAlignment="1">
      <alignment horizontal="center" vertical="center"/>
    </xf>
    <xf numFmtId="180" fontId="8" fillId="12" borderId="1" xfId="0" applyNumberFormat="1" applyFont="1" applyFill="1" applyBorder="1">
      <alignment vertical="center"/>
    </xf>
    <xf numFmtId="0" fontId="0" fillId="10" borderId="0" xfId="0" applyFill="1" applyBorder="1" applyAlignment="1">
      <alignment horizontal="center" vertical="center"/>
    </xf>
    <xf numFmtId="0" fontId="4" fillId="0" borderId="30" xfId="0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6" xfId="0" applyFont="1" applyFill="1" applyBorder="1" applyAlignment="1">
      <alignment horizontal="center" vertical="center"/>
    </xf>
    <xf numFmtId="0" fontId="3" fillId="6" borderId="27" xfId="0" applyFont="1" applyFill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6" fillId="0" borderId="28" xfId="0" applyFont="1" applyBorder="1" applyAlignment="1">
      <alignment horizontal="center" vertical="center"/>
    </xf>
    <xf numFmtId="0" fontId="6" fillId="0" borderId="29" xfId="0" applyFont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8" borderId="15" xfId="0" applyFont="1" applyFill="1" applyBorder="1" applyAlignment="1">
      <alignment horizontal="center" vertical="center"/>
    </xf>
    <xf numFmtId="0" fontId="5" fillId="8" borderId="16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17" xfId="0" applyFont="1" applyFill="1" applyBorder="1" applyAlignment="1">
      <alignment horizontal="center" vertical="center"/>
    </xf>
    <xf numFmtId="0" fontId="5" fillId="8" borderId="22" xfId="0" applyFont="1" applyFill="1" applyBorder="1" applyAlignment="1">
      <alignment horizontal="center" vertical="center"/>
    </xf>
    <xf numFmtId="0" fontId="5" fillId="8" borderId="24" xfId="0" applyFont="1" applyFill="1" applyBorder="1" applyAlignment="1">
      <alignment horizontal="center" vertical="center"/>
    </xf>
    <xf numFmtId="0" fontId="5" fillId="8" borderId="23" xfId="0" applyFont="1" applyFill="1" applyBorder="1" applyAlignment="1">
      <alignment horizontal="center" vertical="center"/>
    </xf>
    <xf numFmtId="0" fontId="5" fillId="8" borderId="32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34" xfId="0" applyFont="1" applyFill="1" applyBorder="1" applyAlignment="1">
      <alignment horizontal="center" vertical="center"/>
    </xf>
    <xf numFmtId="0" fontId="5" fillId="9" borderId="35" xfId="0" applyFont="1" applyFill="1" applyBorder="1" applyAlignment="1">
      <alignment horizontal="center" vertical="center"/>
    </xf>
    <xf numFmtId="0" fontId="5" fillId="9" borderId="30" xfId="0" applyFont="1" applyFill="1" applyBorder="1" applyAlignment="1">
      <alignment horizontal="center" vertical="center"/>
    </xf>
    <xf numFmtId="0" fontId="5" fillId="9" borderId="3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11" borderId="16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11" borderId="20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4" borderId="8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10" xfId="0" applyFont="1" applyFill="1" applyBorder="1" applyAlignment="1">
      <alignment horizontal="center" vertical="center"/>
    </xf>
    <xf numFmtId="0" fontId="0" fillId="13" borderId="8" xfId="0" applyFill="1" applyBorder="1" applyAlignment="1">
      <alignment horizontal="center" vertical="center"/>
    </xf>
    <xf numFmtId="0" fontId="0" fillId="13" borderId="9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</cellXfs>
  <cellStyles count="1">
    <cellStyle name="표준" xfId="0" builtinId="0"/>
  </cellStyles>
  <dxfs count="19">
    <dxf>
      <fill>
        <patternFill>
          <bgColor rgb="FFABE9FF"/>
        </patternFill>
      </fill>
    </dxf>
    <dxf>
      <fill>
        <patternFill>
          <bgColor rgb="FFF39F9F"/>
        </patternFill>
      </fill>
    </dxf>
    <dxf>
      <font>
        <b/>
        <i val="0"/>
        <color rgb="FFFF0000"/>
      </font>
      <fill>
        <patternFill>
          <bgColor rgb="FFFFF28F"/>
        </patternFill>
      </fill>
    </dxf>
    <dxf>
      <font>
        <b/>
        <i val="0"/>
        <color theme="1"/>
      </font>
      <fill>
        <patternFill>
          <bgColor rgb="FFFFF28F"/>
        </patternFill>
      </fill>
    </dxf>
    <dxf>
      <font>
        <b/>
        <i val="0"/>
        <color theme="8"/>
      </font>
      <fill>
        <patternFill>
          <bgColor rgb="FFFFF28F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5001"/>
        </patternFill>
      </fill>
    </dxf>
    <dxf>
      <fill>
        <patternFill>
          <bgColor theme="7"/>
        </patternFill>
      </fill>
    </dxf>
    <dxf>
      <fill>
        <patternFill>
          <bgColor rgb="FFABE9FF"/>
        </patternFill>
      </fill>
    </dxf>
    <dxf>
      <fill>
        <patternFill>
          <bgColor rgb="FFF39F9F"/>
        </patternFill>
      </fill>
    </dxf>
    <dxf>
      <font>
        <b/>
        <i val="0"/>
        <color rgb="FFFF0000"/>
      </font>
      <fill>
        <patternFill>
          <bgColor rgb="FFFFF28F"/>
        </patternFill>
      </fill>
    </dxf>
    <dxf>
      <font>
        <b/>
        <i val="0"/>
        <color theme="1"/>
      </font>
      <fill>
        <patternFill>
          <bgColor rgb="FFFFF28F"/>
        </patternFill>
      </fill>
    </dxf>
    <dxf>
      <font>
        <b/>
        <i val="0"/>
        <color theme="8"/>
      </font>
      <fill>
        <patternFill>
          <bgColor rgb="FFFFF28F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50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5001"/>
      <color rgb="FF93F084"/>
      <color rgb="FFFFF28F"/>
      <color rgb="FFFFFF99"/>
      <color rgb="FFF39F9F"/>
      <color rgb="FFABE9FF"/>
      <color rgb="FFFF9B37"/>
      <color rgb="FF9ADF95"/>
      <color rgb="FF93E1B3"/>
      <color rgb="FF3E8F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</xdr:colOff>
      <xdr:row>2</xdr:row>
      <xdr:rowOff>0</xdr:rowOff>
    </xdr:from>
    <xdr:to>
      <xdr:col>10</xdr:col>
      <xdr:colOff>1</xdr:colOff>
      <xdr:row>4</xdr:row>
      <xdr:rowOff>0</xdr:rowOff>
    </xdr:to>
    <xdr:sp macro="[0]!Find" textlink="">
      <xdr:nvSpPr>
        <xdr:cNvPr id="2" name="직사각형 1"/>
        <xdr:cNvSpPr/>
      </xdr:nvSpPr>
      <xdr:spPr>
        <a:xfrm>
          <a:off x="6610352" y="428625"/>
          <a:ext cx="1762124" cy="428625"/>
        </a:xfrm>
        <a:prstGeom prst="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 b="1">
              <a:latin typeface="나눔바른고딕" panose="020B0603020101020101" pitchFamily="50" charset="-127"/>
              <a:ea typeface="나눔바른고딕" panose="020B0603020101020101" pitchFamily="50" charset="-127"/>
            </a:rPr>
            <a:t>Search</a:t>
          </a:r>
          <a:endParaRPr lang="ko-KR" altLang="en-US" sz="2400" b="1">
            <a:latin typeface="나눔바른고딕" panose="020B0603020101020101" pitchFamily="50" charset="-127"/>
            <a:ea typeface="나눔바른고딕" panose="020B0603020101020101" pitchFamily="50" charset="-127"/>
          </a:endParaRPr>
        </a:p>
      </xdr:txBody>
    </xdr:sp>
    <xdr:clientData/>
  </xdr:twoCellAnchor>
  <xdr:twoCellAnchor>
    <xdr:from>
      <xdr:col>9</xdr:col>
      <xdr:colOff>590550</xdr:colOff>
      <xdr:row>32</xdr:row>
      <xdr:rowOff>85725</xdr:rowOff>
    </xdr:from>
    <xdr:to>
      <xdr:col>13</xdr:col>
      <xdr:colOff>973232</xdr:colOff>
      <xdr:row>34</xdr:row>
      <xdr:rowOff>85725</xdr:rowOff>
    </xdr:to>
    <xdr:sp macro="[0]!AddSpecialVacation" textlink="">
      <xdr:nvSpPr>
        <xdr:cNvPr id="3" name="직사각형 2"/>
        <xdr:cNvSpPr/>
      </xdr:nvSpPr>
      <xdr:spPr>
        <a:xfrm>
          <a:off x="7543800" y="6858000"/>
          <a:ext cx="3792632" cy="428625"/>
        </a:xfrm>
        <a:prstGeom prst="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 b="1">
              <a:latin typeface="나눔바른고딕" panose="020B0603020101020101" pitchFamily="50" charset="-127"/>
              <a:ea typeface="나눔바른고딕" panose="020B0603020101020101" pitchFamily="50" charset="-127"/>
            </a:rPr>
            <a:t>Add Special</a:t>
          </a:r>
          <a:r>
            <a:rPr lang="en-US" altLang="ko-KR" sz="2400" b="1" baseline="0">
              <a:latin typeface="나눔바른고딕" panose="020B0603020101020101" pitchFamily="50" charset="-127"/>
              <a:ea typeface="나눔바른고딕" panose="020B0603020101020101" pitchFamily="50" charset="-127"/>
            </a:rPr>
            <a:t> Vacation</a:t>
          </a:r>
          <a:endParaRPr lang="ko-KR" altLang="en-US" sz="2400" b="1">
            <a:latin typeface="나눔바른고딕" panose="020B0603020101020101" pitchFamily="50" charset="-127"/>
            <a:ea typeface="나눔바른고딕" panose="020B0603020101020101" pitchFamily="50" charset="-127"/>
          </a:endParaRPr>
        </a:p>
      </xdr:txBody>
    </xdr:sp>
    <xdr:clientData/>
  </xdr:twoCellAnchor>
  <xdr:twoCellAnchor>
    <xdr:from>
      <xdr:col>18</xdr:col>
      <xdr:colOff>9527</xdr:colOff>
      <xdr:row>15</xdr:row>
      <xdr:rowOff>19050</xdr:rowOff>
    </xdr:from>
    <xdr:to>
      <xdr:col>22</xdr:col>
      <xdr:colOff>428625</xdr:colOff>
      <xdr:row>17</xdr:row>
      <xdr:rowOff>19050</xdr:rowOff>
    </xdr:to>
    <xdr:sp macro="[0]!AddUsedVacation" textlink="">
      <xdr:nvSpPr>
        <xdr:cNvPr id="4" name="직사각형 3"/>
        <xdr:cNvSpPr/>
      </xdr:nvSpPr>
      <xdr:spPr>
        <a:xfrm>
          <a:off x="13506452" y="3200400"/>
          <a:ext cx="2895598" cy="419100"/>
        </a:xfrm>
        <a:prstGeom prst="rect">
          <a:avLst/>
        </a:prstGeom>
        <a:solidFill>
          <a:schemeClr val="accent2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400" b="1">
              <a:latin typeface="나눔바른고딕" panose="020B0603020101020101" pitchFamily="50" charset="-127"/>
              <a:ea typeface="나눔바른고딕" panose="020B0603020101020101" pitchFamily="50" charset="-127"/>
            </a:rPr>
            <a:t>Add Used</a:t>
          </a:r>
          <a:r>
            <a:rPr lang="en-US" altLang="ko-KR" sz="2400" b="1" baseline="0">
              <a:latin typeface="나눔바른고딕" panose="020B0603020101020101" pitchFamily="50" charset="-127"/>
              <a:ea typeface="나눔바른고딕" panose="020B0603020101020101" pitchFamily="50" charset="-127"/>
            </a:rPr>
            <a:t> Vacation</a:t>
          </a:r>
          <a:endParaRPr lang="ko-KR" altLang="en-US" sz="2400" b="1">
            <a:latin typeface="나눔바른고딕" panose="020B0603020101020101" pitchFamily="50" charset="-127"/>
            <a:ea typeface="나눔바른고딕" panose="020B0603020101020101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672353</xdr:colOff>
      <xdr:row>7</xdr:row>
      <xdr:rowOff>201706</xdr:rowOff>
    </xdr:from>
    <xdr:to>
      <xdr:col>36</xdr:col>
      <xdr:colOff>672353</xdr:colOff>
      <xdr:row>10</xdr:row>
      <xdr:rowOff>201706</xdr:rowOff>
    </xdr:to>
    <xdr:sp macro="[0]!MonthlyCheck" textlink="">
      <xdr:nvSpPr>
        <xdr:cNvPr id="2" name="직사각형 1"/>
        <xdr:cNvSpPr/>
      </xdr:nvSpPr>
      <xdr:spPr>
        <a:xfrm>
          <a:off x="17167412" y="1692088"/>
          <a:ext cx="2050676" cy="638736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2800"/>
            <a:t>Search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1"/>
  <sheetViews>
    <sheetView workbookViewId="0">
      <selection sqref="A1:E31"/>
    </sheetView>
  </sheetViews>
  <sheetFormatPr defaultRowHeight="16.5" x14ac:dyDescent="0.3"/>
  <cols>
    <col min="3" max="3" width="12.375" customWidth="1"/>
    <col min="6" max="6" width="9.875" bestFit="1" customWidth="1"/>
  </cols>
  <sheetData>
    <row r="1" spans="1:6" x14ac:dyDescent="0.3">
      <c r="A1" t="s">
        <v>5</v>
      </c>
      <c r="B1" t="s">
        <v>6</v>
      </c>
      <c r="C1" t="s">
        <v>7</v>
      </c>
      <c r="D1" t="s">
        <v>8</v>
      </c>
      <c r="E1" t="s">
        <v>9</v>
      </c>
      <c r="F1">
        <f>COUNTA(A:A)-1</f>
        <v>30</v>
      </c>
    </row>
    <row r="2" spans="1:6" x14ac:dyDescent="0.3">
      <c r="A2">
        <v>1</v>
      </c>
      <c r="B2" t="s">
        <v>10</v>
      </c>
      <c r="C2" t="s">
        <v>70</v>
      </c>
      <c r="F2" s="1"/>
    </row>
    <row r="3" spans="1:6" x14ac:dyDescent="0.3">
      <c r="A3">
        <v>2</v>
      </c>
      <c r="B3" t="s">
        <v>24</v>
      </c>
      <c r="C3" t="s">
        <v>41</v>
      </c>
    </row>
    <row r="4" spans="1:6" x14ac:dyDescent="0.3">
      <c r="A4">
        <v>3</v>
      </c>
      <c r="B4" t="s">
        <v>25</v>
      </c>
      <c r="C4" t="s">
        <v>42</v>
      </c>
    </row>
    <row r="5" spans="1:6" x14ac:dyDescent="0.3">
      <c r="A5">
        <v>4</v>
      </c>
      <c r="B5" t="s">
        <v>26</v>
      </c>
      <c r="C5" t="s">
        <v>43</v>
      </c>
    </row>
    <row r="6" spans="1:6" x14ac:dyDescent="0.3">
      <c r="A6">
        <v>5</v>
      </c>
      <c r="B6" t="s">
        <v>27</v>
      </c>
      <c r="C6" t="s">
        <v>44</v>
      </c>
    </row>
    <row r="7" spans="1:6" x14ac:dyDescent="0.3">
      <c r="A7">
        <v>6</v>
      </c>
      <c r="B7" t="s">
        <v>28</v>
      </c>
      <c r="C7" t="s">
        <v>45</v>
      </c>
    </row>
    <row r="8" spans="1:6" x14ac:dyDescent="0.3">
      <c r="A8">
        <v>7</v>
      </c>
      <c r="B8" t="s">
        <v>29</v>
      </c>
      <c r="C8" t="s">
        <v>46</v>
      </c>
    </row>
    <row r="9" spans="1:6" x14ac:dyDescent="0.3">
      <c r="A9">
        <v>8</v>
      </c>
      <c r="B9" t="s">
        <v>30</v>
      </c>
      <c r="C9" t="s">
        <v>47</v>
      </c>
    </row>
    <row r="10" spans="1:6" x14ac:dyDescent="0.3">
      <c r="A10">
        <v>9</v>
      </c>
      <c r="B10" t="s">
        <v>31</v>
      </c>
      <c r="C10" t="s">
        <v>48</v>
      </c>
    </row>
    <row r="11" spans="1:6" x14ac:dyDescent="0.3">
      <c r="A11">
        <v>10</v>
      </c>
      <c r="B11" t="s">
        <v>32</v>
      </c>
      <c r="C11" t="s">
        <v>49</v>
      </c>
    </row>
    <row r="12" spans="1:6" x14ac:dyDescent="0.3">
      <c r="A12">
        <v>11</v>
      </c>
      <c r="B12" t="s">
        <v>33</v>
      </c>
      <c r="C12" t="s">
        <v>50</v>
      </c>
    </row>
    <row r="13" spans="1:6" x14ac:dyDescent="0.3">
      <c r="A13">
        <v>12</v>
      </c>
      <c r="B13" t="s">
        <v>34</v>
      </c>
      <c r="C13" t="s">
        <v>51</v>
      </c>
    </row>
    <row r="14" spans="1:6" x14ac:dyDescent="0.3">
      <c r="A14">
        <v>13</v>
      </c>
      <c r="B14" t="s">
        <v>35</v>
      </c>
      <c r="C14" t="s">
        <v>52</v>
      </c>
    </row>
    <row r="15" spans="1:6" x14ac:dyDescent="0.3">
      <c r="A15">
        <v>14</v>
      </c>
      <c r="B15" t="s">
        <v>36</v>
      </c>
      <c r="C15" t="s">
        <v>53</v>
      </c>
    </row>
    <row r="16" spans="1:6" x14ac:dyDescent="0.3">
      <c r="A16">
        <v>15</v>
      </c>
      <c r="B16" t="s">
        <v>37</v>
      </c>
      <c r="C16" t="s">
        <v>54</v>
      </c>
    </row>
    <row r="17" spans="1:3" x14ac:dyDescent="0.3">
      <c r="A17">
        <v>16</v>
      </c>
      <c r="B17" t="s">
        <v>38</v>
      </c>
      <c r="C17" t="s">
        <v>55</v>
      </c>
    </row>
    <row r="18" spans="1:3" x14ac:dyDescent="0.3">
      <c r="A18">
        <v>17</v>
      </c>
      <c r="B18" t="s">
        <v>39</v>
      </c>
      <c r="C18" t="s">
        <v>56</v>
      </c>
    </row>
    <row r="19" spans="1:3" x14ac:dyDescent="0.3">
      <c r="A19">
        <v>18</v>
      </c>
      <c r="B19" t="s">
        <v>11</v>
      </c>
      <c r="C19" t="s">
        <v>57</v>
      </c>
    </row>
    <row r="20" spans="1:3" x14ac:dyDescent="0.3">
      <c r="A20">
        <v>19</v>
      </c>
      <c r="B20" t="s">
        <v>12</v>
      </c>
      <c r="C20" t="s">
        <v>58</v>
      </c>
    </row>
    <row r="21" spans="1:3" x14ac:dyDescent="0.3">
      <c r="A21">
        <v>20</v>
      </c>
      <c r="B21" t="s">
        <v>13</v>
      </c>
      <c r="C21" t="s">
        <v>59</v>
      </c>
    </row>
    <row r="22" spans="1:3" x14ac:dyDescent="0.3">
      <c r="A22">
        <v>21</v>
      </c>
      <c r="B22" t="s">
        <v>14</v>
      </c>
      <c r="C22" t="s">
        <v>60</v>
      </c>
    </row>
    <row r="23" spans="1:3" x14ac:dyDescent="0.3">
      <c r="A23">
        <v>22</v>
      </c>
      <c r="B23" t="s">
        <v>15</v>
      </c>
      <c r="C23" t="s">
        <v>61</v>
      </c>
    </row>
    <row r="24" spans="1:3" x14ac:dyDescent="0.3">
      <c r="A24">
        <v>23</v>
      </c>
      <c r="B24" t="s">
        <v>16</v>
      </c>
      <c r="C24" t="s">
        <v>62</v>
      </c>
    </row>
    <row r="25" spans="1:3" x14ac:dyDescent="0.3">
      <c r="A25">
        <v>24</v>
      </c>
      <c r="B25" t="s">
        <v>17</v>
      </c>
      <c r="C25" t="s">
        <v>63</v>
      </c>
    </row>
    <row r="26" spans="1:3" x14ac:dyDescent="0.3">
      <c r="A26">
        <v>25</v>
      </c>
      <c r="B26" t="s">
        <v>18</v>
      </c>
      <c r="C26" t="s">
        <v>64</v>
      </c>
    </row>
    <row r="27" spans="1:3" x14ac:dyDescent="0.3">
      <c r="A27">
        <v>26</v>
      </c>
      <c r="B27" t="s">
        <v>19</v>
      </c>
      <c r="C27" t="s">
        <v>65</v>
      </c>
    </row>
    <row r="28" spans="1:3" x14ac:dyDescent="0.3">
      <c r="A28">
        <v>27</v>
      </c>
      <c r="B28" t="s">
        <v>20</v>
      </c>
      <c r="C28" t="s">
        <v>66</v>
      </c>
    </row>
    <row r="29" spans="1:3" x14ac:dyDescent="0.3">
      <c r="A29">
        <v>28</v>
      </c>
      <c r="B29" t="s">
        <v>21</v>
      </c>
      <c r="C29" t="s">
        <v>67</v>
      </c>
    </row>
    <row r="30" spans="1:3" x14ac:dyDescent="0.3">
      <c r="A30">
        <v>29</v>
      </c>
      <c r="B30" t="s">
        <v>22</v>
      </c>
      <c r="C30" t="s">
        <v>68</v>
      </c>
    </row>
    <row r="31" spans="1:3" x14ac:dyDescent="0.3">
      <c r="A31">
        <v>30</v>
      </c>
      <c r="B31" t="s">
        <v>23</v>
      </c>
      <c r="C31" t="s">
        <v>69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7"/>
  <sheetViews>
    <sheetView workbookViewId="0">
      <selection activeCell="D35" sqref="D35"/>
    </sheetView>
  </sheetViews>
  <sheetFormatPr defaultRowHeight="16.5" x14ac:dyDescent="0.3"/>
  <cols>
    <col min="1" max="1" width="11" customWidth="1"/>
    <col min="2" max="2" width="17.625" customWidth="1"/>
    <col min="3" max="3" width="6.5" customWidth="1"/>
    <col min="4" max="4" width="17.375" customWidth="1"/>
    <col min="5" max="5" width="11.125" style="17" customWidth="1"/>
    <col min="6" max="6" width="11.625" customWidth="1"/>
    <col min="7" max="7" width="32" customWidth="1"/>
  </cols>
  <sheetData>
    <row r="1" spans="1:8" x14ac:dyDescent="0.3">
      <c r="A1" t="s">
        <v>0</v>
      </c>
      <c r="B1" t="s">
        <v>1</v>
      </c>
      <c r="C1" t="s">
        <v>2</v>
      </c>
      <c r="D1" t="s">
        <v>3</v>
      </c>
      <c r="E1" s="17" t="s">
        <v>4</v>
      </c>
      <c r="F1" s="2" t="s">
        <v>98</v>
      </c>
      <c r="G1" t="s">
        <v>99</v>
      </c>
      <c r="H1">
        <f>COUNTA(A:A)-1</f>
        <v>6</v>
      </c>
    </row>
    <row r="2" spans="1:8" x14ac:dyDescent="0.3">
      <c r="A2">
        <v>1</v>
      </c>
      <c r="B2" t="s">
        <v>82</v>
      </c>
      <c r="C2">
        <v>4</v>
      </c>
      <c r="D2" t="s">
        <v>40</v>
      </c>
      <c r="E2" s="17">
        <v>43926</v>
      </c>
      <c r="F2">
        <v>1</v>
      </c>
      <c r="G2" t="s">
        <v>101</v>
      </c>
    </row>
    <row r="3" spans="1:8" x14ac:dyDescent="0.3">
      <c r="A3">
        <v>2</v>
      </c>
      <c r="B3" t="s">
        <v>102</v>
      </c>
      <c r="C3">
        <v>4</v>
      </c>
      <c r="D3" t="s">
        <v>40</v>
      </c>
      <c r="E3" s="17">
        <v>43931</v>
      </c>
      <c r="F3">
        <v>2</v>
      </c>
      <c r="G3" t="s">
        <v>103</v>
      </c>
    </row>
    <row r="4" spans="1:8" x14ac:dyDescent="0.3">
      <c r="A4">
        <v>3</v>
      </c>
      <c r="B4" t="s">
        <v>112</v>
      </c>
      <c r="C4">
        <v>5</v>
      </c>
      <c r="D4" t="s">
        <v>40</v>
      </c>
      <c r="E4" s="17">
        <v>43961</v>
      </c>
      <c r="F4">
        <v>4</v>
      </c>
      <c r="G4" t="s">
        <v>113</v>
      </c>
    </row>
    <row r="5" spans="1:8" x14ac:dyDescent="0.3">
      <c r="A5">
        <v>4</v>
      </c>
      <c r="B5" t="s">
        <v>102</v>
      </c>
      <c r="C5">
        <v>4</v>
      </c>
      <c r="D5" t="s">
        <v>40</v>
      </c>
      <c r="E5" s="17">
        <v>43971</v>
      </c>
      <c r="G5" t="s">
        <v>114</v>
      </c>
    </row>
    <row r="6" spans="1:8" x14ac:dyDescent="0.3">
      <c r="A6">
        <v>5</v>
      </c>
      <c r="B6" t="s">
        <v>102</v>
      </c>
      <c r="C6">
        <v>4</v>
      </c>
      <c r="D6" t="s">
        <v>40</v>
      </c>
      <c r="E6" s="17">
        <v>44105</v>
      </c>
      <c r="G6" t="s">
        <v>117</v>
      </c>
    </row>
    <row r="7" spans="1:8" x14ac:dyDescent="0.3">
      <c r="A7">
        <v>6</v>
      </c>
      <c r="B7" t="s">
        <v>119</v>
      </c>
      <c r="C7">
        <v>5</v>
      </c>
      <c r="D7" t="s">
        <v>40</v>
      </c>
      <c r="E7" s="17">
        <v>43926</v>
      </c>
      <c r="F7">
        <v>5</v>
      </c>
      <c r="G7" t="s">
        <v>121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7"/>
  <sheetViews>
    <sheetView workbookViewId="0">
      <selection activeCell="F31" sqref="F31"/>
    </sheetView>
  </sheetViews>
  <sheetFormatPr defaultRowHeight="16.5" x14ac:dyDescent="0.3"/>
  <cols>
    <col min="1" max="1" width="11.25" customWidth="1"/>
    <col min="2" max="2" width="15.875" customWidth="1"/>
    <col min="3" max="4" width="9" style="17"/>
    <col min="6" max="6" width="9.625" customWidth="1"/>
  </cols>
  <sheetData>
    <row r="1" spans="1:7" x14ac:dyDescent="0.3">
      <c r="A1" t="s">
        <v>71</v>
      </c>
      <c r="B1" t="s">
        <v>72</v>
      </c>
      <c r="C1" s="17" t="s">
        <v>73</v>
      </c>
      <c r="D1" s="17" t="s">
        <v>74</v>
      </c>
      <c r="E1" t="s">
        <v>75</v>
      </c>
      <c r="F1" t="s">
        <v>76</v>
      </c>
      <c r="G1">
        <f>COUNTA(A:A)-1</f>
        <v>6</v>
      </c>
    </row>
    <row r="2" spans="1:7" x14ac:dyDescent="0.3">
      <c r="A2">
        <v>1</v>
      </c>
      <c r="B2" t="s">
        <v>40</v>
      </c>
      <c r="C2" s="17">
        <v>43926</v>
      </c>
      <c r="D2" s="17">
        <v>43929</v>
      </c>
      <c r="F2">
        <v>1</v>
      </c>
    </row>
    <row r="3" spans="1:7" x14ac:dyDescent="0.3">
      <c r="A3">
        <v>2</v>
      </c>
      <c r="B3" t="s">
        <v>40</v>
      </c>
      <c r="C3" s="17">
        <v>43930</v>
      </c>
      <c r="D3" s="17">
        <v>43933</v>
      </c>
      <c r="F3">
        <v>2</v>
      </c>
    </row>
    <row r="4" spans="1:7" x14ac:dyDescent="0.3">
      <c r="A4">
        <v>3</v>
      </c>
      <c r="B4" t="s">
        <v>40</v>
      </c>
      <c r="C4" s="17">
        <v>43934</v>
      </c>
      <c r="D4" s="17">
        <v>43939</v>
      </c>
      <c r="E4">
        <v>6</v>
      </c>
    </row>
    <row r="5" spans="1:7" x14ac:dyDescent="0.3">
      <c r="A5">
        <v>4</v>
      </c>
      <c r="B5" t="s">
        <v>40</v>
      </c>
      <c r="C5" s="17">
        <v>43961</v>
      </c>
      <c r="D5" s="17">
        <v>43965</v>
      </c>
      <c r="F5">
        <v>3</v>
      </c>
    </row>
    <row r="6" spans="1:7" x14ac:dyDescent="0.3">
      <c r="A6">
        <v>5</v>
      </c>
      <c r="B6" t="s">
        <v>40</v>
      </c>
      <c r="C6" s="17">
        <v>43987</v>
      </c>
      <c r="D6" s="17">
        <v>43991</v>
      </c>
      <c r="F6">
        <v>6</v>
      </c>
    </row>
    <row r="7" spans="1:7" x14ac:dyDescent="0.3">
      <c r="A7">
        <v>6</v>
      </c>
      <c r="B7" t="s">
        <v>40</v>
      </c>
      <c r="C7" s="17">
        <v>43987</v>
      </c>
      <c r="D7" s="17">
        <v>43991</v>
      </c>
      <c r="E7">
        <v>5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2"/>
  <sheetViews>
    <sheetView zoomScaleNormal="100" workbookViewId="0">
      <selection activeCell="I6" sqref="I6:K7"/>
    </sheetView>
  </sheetViews>
  <sheetFormatPr defaultRowHeight="16.5" x14ac:dyDescent="0.3"/>
  <cols>
    <col min="1" max="1" width="9" style="10"/>
    <col min="2" max="2" width="4.5" customWidth="1"/>
    <col min="3" max="3" width="28.875" customWidth="1"/>
    <col min="5" max="5" width="14" customWidth="1"/>
    <col min="6" max="6" width="15.125" customWidth="1"/>
    <col min="7" max="7" width="3" style="30" customWidth="1"/>
    <col min="8" max="8" width="3.25" style="30" customWidth="1"/>
    <col min="9" max="9" width="4.5" customWidth="1"/>
    <col min="10" max="10" width="18.625" customWidth="1"/>
    <col min="11" max="11" width="5.125" customWidth="1"/>
    <col min="13" max="13" width="12" customWidth="1"/>
    <col min="14" max="14" width="18.375" customWidth="1"/>
    <col min="16" max="16" width="4.875" style="10" customWidth="1"/>
    <col min="17" max="17" width="4.375" style="10" customWidth="1"/>
    <col min="18" max="18" width="4.5" customWidth="1"/>
    <col min="19" max="19" width="4.375" customWidth="1"/>
    <col min="20" max="20" width="5" customWidth="1"/>
    <col min="21" max="21" width="15.75" customWidth="1"/>
    <col min="22" max="22" width="9.875" bestFit="1" customWidth="1"/>
  </cols>
  <sheetData>
    <row r="1" spans="2:26" s="10" customFormat="1" x14ac:dyDescent="0.3">
      <c r="G1" s="30"/>
      <c r="H1" s="30"/>
    </row>
    <row r="2" spans="2:26" s="10" customFormat="1" ht="17.25" thickBot="1" x14ac:dyDescent="0.35">
      <c r="B2" s="10" t="s">
        <v>80</v>
      </c>
      <c r="C2" s="10" t="s">
        <v>104</v>
      </c>
      <c r="G2" s="30"/>
      <c r="H2" s="30"/>
    </row>
    <row r="3" spans="2:26" x14ac:dyDescent="0.3">
      <c r="B3" s="61" t="s">
        <v>111</v>
      </c>
      <c r="C3" s="62"/>
      <c r="D3" s="65" t="s">
        <v>130</v>
      </c>
      <c r="E3" s="65"/>
      <c r="F3" s="66"/>
      <c r="I3" s="7"/>
      <c r="J3" s="41"/>
      <c r="K3" s="43"/>
      <c r="L3" s="43"/>
      <c r="M3" s="43"/>
      <c r="N3" s="43"/>
      <c r="O3" s="43"/>
      <c r="P3" s="42"/>
      <c r="R3" s="10"/>
      <c r="S3" s="10"/>
      <c r="T3" s="10"/>
      <c r="U3" s="10"/>
      <c r="V3" s="10"/>
      <c r="W3" s="10"/>
      <c r="X3" s="10"/>
      <c r="Y3" s="10"/>
      <c r="Z3" s="10"/>
    </row>
    <row r="4" spans="2:26" ht="17.25" thickBot="1" x14ac:dyDescent="0.35">
      <c r="B4" s="63"/>
      <c r="C4" s="64"/>
      <c r="D4" s="67"/>
      <c r="E4" s="67"/>
      <c r="F4" s="68"/>
      <c r="I4" s="7"/>
      <c r="J4" s="41"/>
      <c r="K4" s="43"/>
      <c r="L4" s="43"/>
      <c r="M4" s="43"/>
      <c r="N4" s="43"/>
      <c r="O4" s="43"/>
      <c r="P4" s="42"/>
      <c r="R4" s="10"/>
      <c r="S4" s="10"/>
      <c r="T4" s="10"/>
      <c r="U4" s="10"/>
      <c r="V4" s="10"/>
      <c r="W4" s="10"/>
      <c r="X4" s="10"/>
      <c r="Y4" s="10"/>
      <c r="Z4" s="10"/>
    </row>
    <row r="5" spans="2:26" s="10" customFormat="1" ht="17.25" thickBot="1" x14ac:dyDescent="0.35">
      <c r="C5" s="10" t="s">
        <v>124</v>
      </c>
      <c r="G5" s="30"/>
      <c r="H5" s="30"/>
      <c r="J5" s="10" t="s">
        <v>125</v>
      </c>
      <c r="N5" s="10">
        <v>28</v>
      </c>
      <c r="U5" s="10" t="s">
        <v>126</v>
      </c>
      <c r="X5" s="30"/>
    </row>
    <row r="6" spans="2:26" x14ac:dyDescent="0.3">
      <c r="B6" s="69" t="s">
        <v>115</v>
      </c>
      <c r="C6" s="70"/>
      <c r="D6" s="70"/>
      <c r="E6" s="70"/>
      <c r="F6" s="71"/>
      <c r="I6" s="75" t="s">
        <v>92</v>
      </c>
      <c r="J6" s="76"/>
      <c r="K6" s="77"/>
      <c r="L6" s="57">
        <f>28-SUM(G8:G34)</f>
        <v>17</v>
      </c>
      <c r="M6" s="57"/>
      <c r="N6" s="57"/>
      <c r="O6" s="58"/>
      <c r="R6" s="46" t="s">
        <v>93</v>
      </c>
      <c r="S6" s="47" t="s">
        <v>75</v>
      </c>
      <c r="T6" s="47" t="s">
        <v>107</v>
      </c>
      <c r="U6" s="47" t="s">
        <v>105</v>
      </c>
      <c r="V6" s="47" t="s">
        <v>85</v>
      </c>
      <c r="W6" s="48" t="s">
        <v>86</v>
      </c>
      <c r="X6" s="30">
        <f>COUNTA(S7:T10)</f>
        <v>1</v>
      </c>
      <c r="Y6" s="10"/>
      <c r="Z6" s="10"/>
    </row>
    <row r="7" spans="2:26" x14ac:dyDescent="0.3">
      <c r="B7" s="23" t="s">
        <v>87</v>
      </c>
      <c r="C7" s="22" t="s">
        <v>83</v>
      </c>
      <c r="D7" s="21" t="s">
        <v>84</v>
      </c>
      <c r="E7" s="21" t="s">
        <v>85</v>
      </c>
      <c r="F7" s="24" t="s">
        <v>86</v>
      </c>
      <c r="G7" s="30">
        <f>COUNTA(C8:C26)</f>
        <v>6</v>
      </c>
      <c r="I7" s="78"/>
      <c r="J7" s="79"/>
      <c r="K7" s="80"/>
      <c r="L7" s="59"/>
      <c r="M7" s="59"/>
      <c r="N7" s="59"/>
      <c r="O7" s="60"/>
      <c r="R7" s="50">
        <v>1</v>
      </c>
      <c r="S7" s="3">
        <v>5</v>
      </c>
      <c r="T7" s="3"/>
      <c r="U7" s="4">
        <f>VLOOKUP(T7,H$10:J$26,3,FALSE)</f>
        <v>0</v>
      </c>
      <c r="V7" s="44">
        <v>43987</v>
      </c>
      <c r="W7" s="45">
        <f>V7+X7-1</f>
        <v>43991</v>
      </c>
      <c r="X7" s="52">
        <f>Y7+Z7</f>
        <v>5</v>
      </c>
      <c r="Y7" s="31">
        <f>IF(IFERROR(VLOOKUP(T7,K$10:L$26,2,FALSE),TRUE)=TRUE,0,VLOOKUP(T7,K$10:L$26,2,FALSE))</f>
        <v>0</v>
      </c>
      <c r="Z7" s="10">
        <f>IF(S7&gt;0,S7,0)</f>
        <v>5</v>
      </c>
    </row>
    <row r="8" spans="2:26" x14ac:dyDescent="0.3">
      <c r="B8" s="32">
        <v>1</v>
      </c>
      <c r="C8" s="18" t="s">
        <v>108</v>
      </c>
      <c r="D8" s="5">
        <v>4</v>
      </c>
      <c r="E8" s="19">
        <v>43926</v>
      </c>
      <c r="F8" s="25">
        <v>43929</v>
      </c>
      <c r="G8" s="30">
        <f>IF(LEFT(C8,4)="[연가]",VALUE(RIGHT(C8,2)),0)</f>
        <v>0</v>
      </c>
      <c r="I8" s="72" t="s">
        <v>118</v>
      </c>
      <c r="J8" s="73"/>
      <c r="K8" s="73"/>
      <c r="L8" s="73"/>
      <c r="M8" s="73"/>
      <c r="N8" s="73"/>
      <c r="O8" s="74"/>
      <c r="P8" s="30"/>
      <c r="R8" s="50">
        <v>2</v>
      </c>
      <c r="S8" s="3"/>
      <c r="T8" s="3"/>
      <c r="U8" s="4">
        <f t="shared" ref="U8:U12" si="0">VLOOKUP(T8,H$10:J$26,3,FALSE)</f>
        <v>0</v>
      </c>
      <c r="V8" s="16">
        <f>W7+1</f>
        <v>43992</v>
      </c>
      <c r="W8" s="45">
        <f t="shared" ref="W8:W12" si="1">V8+X8-1</f>
        <v>43991</v>
      </c>
      <c r="X8" s="52">
        <f t="shared" ref="X8:X10" si="2">Y8+Z8</f>
        <v>0</v>
      </c>
      <c r="Y8" s="31">
        <f t="shared" ref="Y8:Y10" si="3">IF(IFERROR(VLOOKUP(T8,K$10:L$26,2,FALSE),TRUE)=TRUE,0,VLOOKUP(T8,K$10:L$26,2,FALSE))</f>
        <v>0</v>
      </c>
      <c r="Z8" s="10">
        <f t="shared" ref="Z8:Z10" si="4">IF(S8&gt;0,S8,0)</f>
        <v>0</v>
      </c>
    </row>
    <row r="9" spans="2:26" x14ac:dyDescent="0.3">
      <c r="B9" s="32">
        <v>2</v>
      </c>
      <c r="C9" s="18" t="s">
        <v>109</v>
      </c>
      <c r="D9" s="5">
        <v>4</v>
      </c>
      <c r="E9" s="19">
        <v>43930</v>
      </c>
      <c r="F9" s="25">
        <v>43933</v>
      </c>
      <c r="G9" s="30">
        <f t="shared" ref="G9:G34" si="5">IF(LEFT(C9,4)="[연가]",VALUE(RIGHT(C9,2)),0)</f>
        <v>0</v>
      </c>
      <c r="I9" s="23" t="s">
        <v>88</v>
      </c>
      <c r="J9" s="21" t="s">
        <v>89</v>
      </c>
      <c r="K9" s="21" t="s">
        <v>77</v>
      </c>
      <c r="L9" s="21" t="s">
        <v>90</v>
      </c>
      <c r="M9" s="21" t="s">
        <v>78</v>
      </c>
      <c r="N9" s="21" t="s">
        <v>100</v>
      </c>
      <c r="O9" s="24" t="s">
        <v>91</v>
      </c>
      <c r="P9" s="30">
        <f>COUNTA(J10:J26)</f>
        <v>6</v>
      </c>
      <c r="R9" s="50">
        <v>3</v>
      </c>
      <c r="S9" s="3"/>
      <c r="T9" s="3"/>
      <c r="U9" s="4">
        <f t="shared" si="0"/>
        <v>0</v>
      </c>
      <c r="V9" s="16">
        <f t="shared" ref="V9:V12" si="6">W8+1</f>
        <v>43992</v>
      </c>
      <c r="W9" s="45">
        <f t="shared" si="1"/>
        <v>43991</v>
      </c>
      <c r="X9" s="52">
        <f t="shared" si="2"/>
        <v>0</v>
      </c>
      <c r="Y9" s="31">
        <f t="shared" si="3"/>
        <v>0</v>
      </c>
      <c r="Z9" s="10">
        <f t="shared" si="4"/>
        <v>0</v>
      </c>
    </row>
    <row r="10" spans="2:26" x14ac:dyDescent="0.3">
      <c r="B10" s="32">
        <v>3</v>
      </c>
      <c r="C10" s="18" t="s">
        <v>110</v>
      </c>
      <c r="D10" s="5">
        <v>6</v>
      </c>
      <c r="E10" s="19">
        <v>43934</v>
      </c>
      <c r="F10" s="25">
        <v>43939</v>
      </c>
      <c r="G10" s="30">
        <f t="shared" si="5"/>
        <v>6</v>
      </c>
      <c r="H10" s="30">
        <f>K10</f>
        <v>1</v>
      </c>
      <c r="I10" s="32">
        <v>1</v>
      </c>
      <c r="J10" s="3" t="s">
        <v>82</v>
      </c>
      <c r="K10" s="3">
        <v>1</v>
      </c>
      <c r="L10" s="3">
        <v>4</v>
      </c>
      <c r="M10" s="15">
        <v>43926</v>
      </c>
      <c r="N10" s="3" t="s">
        <v>101</v>
      </c>
      <c r="O10" s="33" t="b">
        <v>1</v>
      </c>
      <c r="P10" s="30"/>
      <c r="R10" s="50">
        <v>4</v>
      </c>
      <c r="S10" s="3"/>
      <c r="T10" s="3"/>
      <c r="U10" s="4">
        <f t="shared" si="0"/>
        <v>0</v>
      </c>
      <c r="V10" s="16">
        <f t="shared" si="6"/>
        <v>43992</v>
      </c>
      <c r="W10" s="45">
        <f t="shared" si="1"/>
        <v>43991</v>
      </c>
      <c r="X10" s="52">
        <f t="shared" si="2"/>
        <v>0</v>
      </c>
      <c r="Y10" s="31">
        <f t="shared" si="3"/>
        <v>0</v>
      </c>
      <c r="Z10" s="10">
        <f t="shared" si="4"/>
        <v>0</v>
      </c>
    </row>
    <row r="11" spans="2:26" x14ac:dyDescent="0.3">
      <c r="B11" s="32">
        <v>4</v>
      </c>
      <c r="C11" s="6" t="s">
        <v>116</v>
      </c>
      <c r="D11" s="5">
        <v>5</v>
      </c>
      <c r="E11" s="19">
        <v>43961</v>
      </c>
      <c r="F11" s="25">
        <v>43965</v>
      </c>
      <c r="G11" s="30">
        <f t="shared" si="5"/>
        <v>0</v>
      </c>
      <c r="H11" s="30">
        <f t="shared" ref="H11:H26" si="7">K11</f>
        <v>2</v>
      </c>
      <c r="I11" s="32">
        <v>2</v>
      </c>
      <c r="J11" s="3" t="s">
        <v>102</v>
      </c>
      <c r="K11" s="3">
        <v>2</v>
      </c>
      <c r="L11" s="3">
        <v>4</v>
      </c>
      <c r="M11" s="15">
        <v>43931</v>
      </c>
      <c r="N11" s="3" t="s">
        <v>103</v>
      </c>
      <c r="O11" s="33" t="b">
        <v>1</v>
      </c>
      <c r="P11" s="30"/>
      <c r="R11" s="50">
        <v>5</v>
      </c>
      <c r="S11" s="3"/>
      <c r="T11" s="3"/>
      <c r="U11" s="4">
        <f t="shared" si="0"/>
        <v>0</v>
      </c>
      <c r="V11" s="16">
        <f t="shared" si="6"/>
        <v>43992</v>
      </c>
      <c r="W11" s="45">
        <f t="shared" si="1"/>
        <v>43991</v>
      </c>
      <c r="X11" s="52">
        <f t="shared" ref="X11:X12" si="8">Y11+Z11</f>
        <v>0</v>
      </c>
      <c r="Y11" s="31">
        <f t="shared" ref="Y11:Y12" si="9">IF(IFERROR(VLOOKUP(T11,K$10:L$26,2,FALSE),TRUE)=TRUE,0,VLOOKUP(T11,K$10:L$26,2,FALSE))</f>
        <v>0</v>
      </c>
      <c r="Z11" s="10">
        <f t="shared" ref="Z11:Z12" si="10">IF(S11&gt;0,S11,0)</f>
        <v>0</v>
      </c>
    </row>
    <row r="12" spans="2:26" x14ac:dyDescent="0.3">
      <c r="B12" s="32">
        <v>5</v>
      </c>
      <c r="C12" s="6" t="s">
        <v>123</v>
      </c>
      <c r="D12" s="5">
        <v>5</v>
      </c>
      <c r="E12" s="19">
        <v>43987</v>
      </c>
      <c r="F12" s="25">
        <v>43991</v>
      </c>
      <c r="G12" s="30">
        <f t="shared" si="5"/>
        <v>0</v>
      </c>
      <c r="H12" s="30">
        <f t="shared" si="7"/>
        <v>3</v>
      </c>
      <c r="I12" s="32">
        <v>3</v>
      </c>
      <c r="J12" s="3" t="s">
        <v>112</v>
      </c>
      <c r="K12" s="3">
        <v>3</v>
      </c>
      <c r="L12" s="3">
        <v>5</v>
      </c>
      <c r="M12" s="15">
        <v>43961</v>
      </c>
      <c r="N12" s="3" t="s">
        <v>113</v>
      </c>
      <c r="O12" s="33" t="b">
        <v>1</v>
      </c>
      <c r="P12" s="30"/>
      <c r="R12" s="50">
        <v>6</v>
      </c>
      <c r="S12" s="3"/>
      <c r="T12" s="3"/>
      <c r="U12" s="4">
        <f t="shared" si="0"/>
        <v>0</v>
      </c>
      <c r="V12" s="16">
        <f t="shared" si="6"/>
        <v>43992</v>
      </c>
      <c r="W12" s="45">
        <f t="shared" si="1"/>
        <v>43991</v>
      </c>
      <c r="X12" s="52">
        <f t="shared" si="8"/>
        <v>0</v>
      </c>
      <c r="Y12" s="31">
        <f t="shared" si="9"/>
        <v>0</v>
      </c>
      <c r="Z12" s="10">
        <f t="shared" si="10"/>
        <v>0</v>
      </c>
    </row>
    <row r="13" spans="2:26" x14ac:dyDescent="0.3">
      <c r="B13" s="32">
        <v>6</v>
      </c>
      <c r="C13" s="6" t="s">
        <v>131</v>
      </c>
      <c r="D13" s="5">
        <v>5</v>
      </c>
      <c r="E13" s="19">
        <v>43987</v>
      </c>
      <c r="F13" s="25">
        <v>43991</v>
      </c>
      <c r="G13" s="30">
        <f t="shared" si="5"/>
        <v>5</v>
      </c>
      <c r="H13" s="30">
        <f t="shared" si="7"/>
        <v>4</v>
      </c>
      <c r="I13" s="32">
        <v>4</v>
      </c>
      <c r="J13" s="3" t="s">
        <v>102</v>
      </c>
      <c r="K13" s="3">
        <v>4</v>
      </c>
      <c r="L13" s="3">
        <v>4</v>
      </c>
      <c r="M13" s="15">
        <v>43971</v>
      </c>
      <c r="N13" s="3" t="s">
        <v>114</v>
      </c>
      <c r="O13" s="33" t="b">
        <v>0</v>
      </c>
      <c r="P13" s="30"/>
      <c r="R13" s="87" t="s">
        <v>106</v>
      </c>
      <c r="S13" s="88"/>
      <c r="T13" s="88"/>
      <c r="U13" s="88"/>
      <c r="V13" s="9" t="s">
        <v>85</v>
      </c>
      <c r="W13" s="38" t="s">
        <v>86</v>
      </c>
      <c r="X13" s="30"/>
      <c r="Y13" s="10"/>
      <c r="Z13" s="10"/>
    </row>
    <row r="14" spans="2:26" ht="17.25" thickBot="1" x14ac:dyDescent="0.35">
      <c r="B14" s="32">
        <v>7</v>
      </c>
      <c r="C14" s="6"/>
      <c r="D14" s="5"/>
      <c r="E14" s="19"/>
      <c r="F14" s="25"/>
      <c r="G14" s="30">
        <f t="shared" si="5"/>
        <v>0</v>
      </c>
      <c r="H14" s="30">
        <f t="shared" si="7"/>
        <v>5</v>
      </c>
      <c r="I14" s="32">
        <v>5</v>
      </c>
      <c r="J14" s="3" t="s">
        <v>102</v>
      </c>
      <c r="K14" s="3">
        <v>5</v>
      </c>
      <c r="L14" s="3">
        <v>4</v>
      </c>
      <c r="M14" s="15">
        <v>44105</v>
      </c>
      <c r="N14" s="3" t="s">
        <v>117</v>
      </c>
      <c r="O14" s="33" t="b">
        <v>0</v>
      </c>
      <c r="P14" s="30"/>
      <c r="R14" s="89"/>
      <c r="S14" s="90"/>
      <c r="T14" s="90"/>
      <c r="U14" s="90"/>
      <c r="V14" s="39">
        <f>V7</f>
        <v>43987</v>
      </c>
      <c r="W14" s="40">
        <f>V7+SUM(X7:X12)-1</f>
        <v>43991</v>
      </c>
      <c r="X14" s="10"/>
      <c r="Y14" s="10"/>
      <c r="Z14" s="10"/>
    </row>
    <row r="15" spans="2:26" x14ac:dyDescent="0.3">
      <c r="B15" s="32">
        <v>8</v>
      </c>
      <c r="C15" s="6"/>
      <c r="D15" s="5"/>
      <c r="E15" s="19"/>
      <c r="F15" s="25"/>
      <c r="G15" s="30">
        <f t="shared" si="5"/>
        <v>0</v>
      </c>
      <c r="H15" s="30">
        <f t="shared" si="7"/>
        <v>6</v>
      </c>
      <c r="I15" s="32">
        <v>6</v>
      </c>
      <c r="J15" s="3" t="s">
        <v>119</v>
      </c>
      <c r="K15" s="3">
        <v>6</v>
      </c>
      <c r="L15" s="3">
        <v>5</v>
      </c>
      <c r="M15" s="15">
        <v>43926</v>
      </c>
      <c r="N15" s="3" t="s">
        <v>121</v>
      </c>
      <c r="O15" s="33" t="b">
        <v>1</v>
      </c>
      <c r="P15" s="30"/>
      <c r="R15" s="10"/>
      <c r="S15" s="10"/>
      <c r="T15" s="10"/>
      <c r="U15" s="10"/>
      <c r="V15" s="10"/>
      <c r="W15" s="10"/>
      <c r="X15" s="10"/>
      <c r="Y15" s="10"/>
      <c r="Z15" s="10"/>
    </row>
    <row r="16" spans="2:26" x14ac:dyDescent="0.3">
      <c r="B16" s="32">
        <v>9</v>
      </c>
      <c r="C16" s="6"/>
      <c r="D16" s="5"/>
      <c r="E16" s="19"/>
      <c r="F16" s="25"/>
      <c r="G16" s="30">
        <f t="shared" si="5"/>
        <v>0</v>
      </c>
      <c r="H16" s="30">
        <f t="shared" si="7"/>
        <v>0</v>
      </c>
      <c r="I16" s="32">
        <v>7</v>
      </c>
      <c r="J16" s="3"/>
      <c r="K16" s="3"/>
      <c r="L16" s="3"/>
      <c r="M16" s="15"/>
      <c r="N16" s="3"/>
      <c r="O16" s="33"/>
      <c r="P16" s="30"/>
      <c r="R16" s="10"/>
      <c r="S16" s="10"/>
      <c r="T16" s="10"/>
      <c r="U16" s="10"/>
      <c r="V16" s="10"/>
      <c r="W16" s="10"/>
      <c r="X16" s="10"/>
      <c r="Y16" s="10"/>
      <c r="Z16" s="10"/>
    </row>
    <row r="17" spans="2:26" x14ac:dyDescent="0.3">
      <c r="B17" s="32">
        <v>10</v>
      </c>
      <c r="C17" s="6"/>
      <c r="D17" s="5"/>
      <c r="E17" s="19"/>
      <c r="F17" s="25"/>
      <c r="G17" s="30">
        <f t="shared" si="5"/>
        <v>0</v>
      </c>
      <c r="H17" s="30">
        <f t="shared" si="7"/>
        <v>0</v>
      </c>
      <c r="I17" s="32">
        <v>8</v>
      </c>
      <c r="J17" s="3"/>
      <c r="K17" s="3"/>
      <c r="L17" s="3"/>
      <c r="M17" s="15"/>
      <c r="N17" s="3"/>
      <c r="O17" s="33"/>
      <c r="P17" s="30"/>
      <c r="R17" s="10"/>
      <c r="S17" s="10"/>
      <c r="T17" s="10"/>
      <c r="U17" s="10"/>
      <c r="V17" s="10"/>
      <c r="W17" s="10"/>
      <c r="X17" s="10"/>
      <c r="Y17" s="10"/>
      <c r="Z17" s="10"/>
    </row>
    <row r="18" spans="2:26" x14ac:dyDescent="0.3">
      <c r="B18" s="32">
        <v>11</v>
      </c>
      <c r="C18" s="6"/>
      <c r="D18" s="5"/>
      <c r="E18" s="19"/>
      <c r="F18" s="25"/>
      <c r="G18" s="30">
        <f t="shared" si="5"/>
        <v>0</v>
      </c>
      <c r="H18" s="30">
        <f t="shared" si="7"/>
        <v>0</v>
      </c>
      <c r="I18" s="32">
        <v>9</v>
      </c>
      <c r="J18" s="3"/>
      <c r="K18" s="3"/>
      <c r="L18" s="3"/>
      <c r="M18" s="15"/>
      <c r="N18" s="3"/>
      <c r="O18" s="33"/>
      <c r="P18" s="30"/>
      <c r="R18" s="10"/>
      <c r="S18" s="10"/>
      <c r="T18" s="10"/>
      <c r="U18" s="10"/>
      <c r="V18" s="10"/>
      <c r="W18" s="10"/>
      <c r="X18" s="10"/>
      <c r="Y18" s="10"/>
      <c r="Z18" s="10"/>
    </row>
    <row r="19" spans="2:26" x14ac:dyDescent="0.3">
      <c r="B19" s="32">
        <v>12</v>
      </c>
      <c r="C19" s="6"/>
      <c r="D19" s="5"/>
      <c r="E19" s="19"/>
      <c r="F19" s="25"/>
      <c r="G19" s="30">
        <f t="shared" si="5"/>
        <v>0</v>
      </c>
      <c r="H19" s="30">
        <f t="shared" si="7"/>
        <v>0</v>
      </c>
      <c r="I19" s="32">
        <v>10</v>
      </c>
      <c r="J19" s="3"/>
      <c r="K19" s="3"/>
      <c r="L19" s="3"/>
      <c r="M19" s="15"/>
      <c r="N19" s="3"/>
      <c r="O19" s="33"/>
      <c r="P19" s="30"/>
      <c r="R19" s="10"/>
      <c r="S19" s="10"/>
      <c r="T19" s="10"/>
      <c r="U19" s="10"/>
      <c r="V19" s="10"/>
      <c r="W19" s="10"/>
      <c r="X19" s="10"/>
      <c r="Y19" s="10"/>
      <c r="Z19" s="10"/>
    </row>
    <row r="20" spans="2:26" x14ac:dyDescent="0.3">
      <c r="B20" s="32">
        <v>13</v>
      </c>
      <c r="C20" s="6"/>
      <c r="D20" s="5"/>
      <c r="E20" s="19"/>
      <c r="F20" s="25"/>
      <c r="G20" s="30">
        <f t="shared" si="5"/>
        <v>0</v>
      </c>
      <c r="H20" s="30">
        <f t="shared" si="7"/>
        <v>0</v>
      </c>
      <c r="I20" s="32">
        <v>11</v>
      </c>
      <c r="J20" s="3"/>
      <c r="K20" s="3"/>
      <c r="L20" s="3"/>
      <c r="M20" s="15"/>
      <c r="N20" s="3"/>
      <c r="O20" s="33"/>
      <c r="P20" s="30"/>
      <c r="R20" s="10"/>
      <c r="S20" s="10"/>
      <c r="T20" s="10"/>
      <c r="U20" s="10"/>
      <c r="V20" s="10"/>
      <c r="W20" s="10"/>
      <c r="X20" s="10"/>
      <c r="Y20" s="10"/>
      <c r="Z20" s="10"/>
    </row>
    <row r="21" spans="2:26" x14ac:dyDescent="0.3">
      <c r="B21" s="32">
        <v>14</v>
      </c>
      <c r="C21" s="6"/>
      <c r="D21" s="5"/>
      <c r="E21" s="19"/>
      <c r="F21" s="25"/>
      <c r="G21" s="30">
        <f t="shared" si="5"/>
        <v>0</v>
      </c>
      <c r="H21" s="30">
        <f t="shared" si="7"/>
        <v>0</v>
      </c>
      <c r="I21" s="32">
        <v>12</v>
      </c>
      <c r="J21" s="3"/>
      <c r="K21" s="3"/>
      <c r="L21" s="3"/>
      <c r="M21" s="15"/>
      <c r="N21" s="3"/>
      <c r="O21" s="33"/>
      <c r="P21" s="30"/>
      <c r="R21" s="10"/>
      <c r="S21" s="10"/>
      <c r="T21" s="10"/>
      <c r="U21" s="10"/>
      <c r="V21" s="10"/>
      <c r="W21" s="10"/>
      <c r="X21" s="10"/>
      <c r="Y21" s="10"/>
      <c r="Z21" s="10"/>
    </row>
    <row r="22" spans="2:26" x14ac:dyDescent="0.3">
      <c r="B22" s="32">
        <v>15</v>
      </c>
      <c r="C22" s="6"/>
      <c r="D22" s="5"/>
      <c r="E22" s="19"/>
      <c r="F22" s="25"/>
      <c r="G22" s="30">
        <f t="shared" si="5"/>
        <v>0</v>
      </c>
      <c r="H22" s="30">
        <f t="shared" si="7"/>
        <v>0</v>
      </c>
      <c r="I22" s="32">
        <v>13</v>
      </c>
      <c r="J22" s="3"/>
      <c r="K22" s="3"/>
      <c r="L22" s="3"/>
      <c r="M22" s="15"/>
      <c r="N22" s="3"/>
      <c r="O22" s="33"/>
      <c r="P22" s="30"/>
      <c r="R22" s="10"/>
      <c r="S22" s="10"/>
      <c r="T22" s="10"/>
      <c r="U22" s="10"/>
      <c r="V22" s="10"/>
      <c r="W22" s="10"/>
      <c r="X22" s="10"/>
      <c r="Y22" s="10"/>
      <c r="Z22" s="10"/>
    </row>
    <row r="23" spans="2:26" x14ac:dyDescent="0.3">
      <c r="B23" s="32">
        <v>16</v>
      </c>
      <c r="C23" s="6"/>
      <c r="D23" s="5"/>
      <c r="E23" s="19"/>
      <c r="F23" s="25"/>
      <c r="G23" s="30">
        <f t="shared" si="5"/>
        <v>0</v>
      </c>
      <c r="H23" s="30">
        <f t="shared" si="7"/>
        <v>0</v>
      </c>
      <c r="I23" s="32">
        <v>14</v>
      </c>
      <c r="J23" s="3"/>
      <c r="K23" s="3"/>
      <c r="L23" s="3"/>
      <c r="M23" s="15"/>
      <c r="N23" s="3"/>
      <c r="O23" s="33"/>
      <c r="P23" s="30"/>
      <c r="R23" s="10"/>
      <c r="S23" s="10"/>
      <c r="T23" s="10"/>
      <c r="U23" s="10"/>
      <c r="V23" s="10"/>
      <c r="W23" s="10"/>
      <c r="X23" s="10"/>
      <c r="Y23" s="10"/>
      <c r="Z23" s="10"/>
    </row>
    <row r="24" spans="2:26" x14ac:dyDescent="0.3">
      <c r="B24" s="32">
        <v>17</v>
      </c>
      <c r="C24" s="6"/>
      <c r="D24" s="5"/>
      <c r="E24" s="19"/>
      <c r="F24" s="25"/>
      <c r="G24" s="30">
        <f t="shared" si="5"/>
        <v>0</v>
      </c>
      <c r="H24" s="30">
        <f t="shared" si="7"/>
        <v>0</v>
      </c>
      <c r="I24" s="32">
        <v>15</v>
      </c>
      <c r="J24" s="3"/>
      <c r="K24" s="3"/>
      <c r="L24" s="3"/>
      <c r="M24" s="15"/>
      <c r="N24" s="3"/>
      <c r="O24" s="33"/>
      <c r="P24" s="30"/>
      <c r="R24" s="10"/>
      <c r="S24" s="10"/>
      <c r="T24" s="10"/>
      <c r="U24" s="10"/>
      <c r="V24" s="10"/>
      <c r="W24" s="10"/>
      <c r="X24" s="10"/>
      <c r="Y24" s="10"/>
      <c r="Z24" s="10"/>
    </row>
    <row r="25" spans="2:26" x14ac:dyDescent="0.3">
      <c r="B25" s="32">
        <v>18</v>
      </c>
      <c r="C25" s="6"/>
      <c r="D25" s="5"/>
      <c r="E25" s="19"/>
      <c r="F25" s="25"/>
      <c r="G25" s="30">
        <f t="shared" si="5"/>
        <v>0</v>
      </c>
      <c r="H25" s="30">
        <f t="shared" si="7"/>
        <v>0</v>
      </c>
      <c r="I25" s="32">
        <v>16</v>
      </c>
      <c r="J25" s="3"/>
      <c r="K25" s="3"/>
      <c r="L25" s="3"/>
      <c r="M25" s="15"/>
      <c r="N25" s="3"/>
      <c r="O25" s="33"/>
      <c r="P25" s="30"/>
      <c r="R25" s="10"/>
      <c r="S25" s="10"/>
      <c r="T25" s="10"/>
      <c r="U25" s="10"/>
      <c r="V25" s="10"/>
      <c r="W25" s="10"/>
      <c r="X25" s="10"/>
      <c r="Y25" s="10"/>
      <c r="Z25" s="10"/>
    </row>
    <row r="26" spans="2:26" ht="17.25" thickBot="1" x14ac:dyDescent="0.35">
      <c r="B26" s="32">
        <v>19</v>
      </c>
      <c r="C26" s="6"/>
      <c r="D26" s="5"/>
      <c r="E26" s="19"/>
      <c r="F26" s="25"/>
      <c r="G26" s="30">
        <f t="shared" si="5"/>
        <v>0</v>
      </c>
      <c r="H26" s="30">
        <f t="shared" si="7"/>
        <v>0</v>
      </c>
      <c r="I26" s="49">
        <v>17</v>
      </c>
      <c r="J26" s="34"/>
      <c r="K26" s="34"/>
      <c r="L26" s="34"/>
      <c r="M26" s="35"/>
      <c r="N26" s="34"/>
      <c r="O26" s="36"/>
      <c r="P26" s="30"/>
      <c r="R26" s="10"/>
      <c r="S26" s="10"/>
      <c r="T26" s="10"/>
      <c r="U26" s="10"/>
      <c r="V26" s="10"/>
      <c r="W26" s="10"/>
      <c r="X26" s="10"/>
      <c r="Y26" s="10"/>
      <c r="Z26" s="10"/>
    </row>
    <row r="27" spans="2:26" ht="17.25" thickBot="1" x14ac:dyDescent="0.35">
      <c r="B27" s="32">
        <v>20</v>
      </c>
      <c r="C27" s="6"/>
      <c r="D27" s="5"/>
      <c r="E27" s="19"/>
      <c r="F27" s="25"/>
      <c r="G27" s="30">
        <f t="shared" si="5"/>
        <v>0</v>
      </c>
      <c r="I27" s="10"/>
      <c r="J27" s="10" t="s">
        <v>127</v>
      </c>
      <c r="K27" s="10"/>
      <c r="L27" s="10"/>
      <c r="M27" s="10"/>
      <c r="N27" s="10"/>
      <c r="O27" s="10"/>
      <c r="P27" s="30"/>
      <c r="R27" s="10"/>
      <c r="S27" s="10"/>
      <c r="T27" s="10"/>
      <c r="U27" s="10"/>
      <c r="V27" s="10"/>
      <c r="W27" s="10"/>
      <c r="X27" s="10"/>
      <c r="Y27" s="10"/>
      <c r="Z27" s="10"/>
    </row>
    <row r="28" spans="2:26" x14ac:dyDescent="0.3">
      <c r="B28" s="32">
        <v>21</v>
      </c>
      <c r="C28" s="6"/>
      <c r="D28" s="5"/>
      <c r="E28" s="19"/>
      <c r="F28" s="25"/>
      <c r="G28" s="30">
        <f t="shared" si="5"/>
        <v>0</v>
      </c>
      <c r="I28" s="46" t="s">
        <v>93</v>
      </c>
      <c r="J28" s="81" t="s">
        <v>94</v>
      </c>
      <c r="K28" s="82"/>
      <c r="L28" s="47" t="s">
        <v>90</v>
      </c>
      <c r="M28" s="47" t="s">
        <v>78</v>
      </c>
      <c r="N28" s="83" t="s">
        <v>100</v>
      </c>
      <c r="O28" s="84"/>
      <c r="P28" s="30">
        <f>COUNTA(J29:K32)</f>
        <v>1</v>
      </c>
      <c r="R28" s="10"/>
      <c r="S28" s="10"/>
      <c r="T28" s="10"/>
      <c r="U28" s="10"/>
      <c r="V28" s="10"/>
      <c r="W28" s="10"/>
      <c r="X28" s="10"/>
      <c r="Y28" s="10"/>
      <c r="Z28" s="10"/>
    </row>
    <row r="29" spans="2:26" x14ac:dyDescent="0.3">
      <c r="B29" s="32">
        <v>22</v>
      </c>
      <c r="C29" s="6"/>
      <c r="D29" s="5"/>
      <c r="E29" s="19"/>
      <c r="F29" s="25"/>
      <c r="G29" s="30">
        <f t="shared" si="5"/>
        <v>0</v>
      </c>
      <c r="I29" s="50">
        <v>1</v>
      </c>
      <c r="J29" s="85" t="s">
        <v>120</v>
      </c>
      <c r="K29" s="86"/>
      <c r="L29" s="4">
        <v>5</v>
      </c>
      <c r="M29" s="14">
        <v>43926</v>
      </c>
      <c r="N29" s="91" t="s">
        <v>122</v>
      </c>
      <c r="O29" s="92"/>
      <c r="P29" s="30"/>
      <c r="R29" s="10"/>
      <c r="S29" s="10"/>
      <c r="T29" s="10"/>
      <c r="U29" s="10"/>
      <c r="V29" s="10"/>
      <c r="W29" s="10"/>
      <c r="X29" s="10"/>
      <c r="Y29" s="10"/>
      <c r="Z29" s="10"/>
    </row>
    <row r="30" spans="2:26" x14ac:dyDescent="0.3">
      <c r="B30" s="32">
        <v>23</v>
      </c>
      <c r="C30" s="6"/>
      <c r="D30" s="5"/>
      <c r="E30" s="19"/>
      <c r="F30" s="25"/>
      <c r="G30" s="30">
        <f t="shared" si="5"/>
        <v>0</v>
      </c>
      <c r="I30" s="50">
        <v>2</v>
      </c>
      <c r="J30" s="85"/>
      <c r="K30" s="86"/>
      <c r="L30" s="4"/>
      <c r="M30" s="14"/>
      <c r="N30" s="91"/>
      <c r="O30" s="92"/>
      <c r="P30" s="30"/>
      <c r="R30" s="10"/>
      <c r="S30" s="10"/>
      <c r="T30" s="10"/>
      <c r="U30" s="10"/>
      <c r="V30" s="10"/>
      <c r="W30" s="10"/>
      <c r="X30" s="10"/>
      <c r="Y30" s="10"/>
      <c r="Z30" s="10"/>
    </row>
    <row r="31" spans="2:26" x14ac:dyDescent="0.3">
      <c r="B31" s="32">
        <v>24</v>
      </c>
      <c r="C31" s="6"/>
      <c r="D31" s="5"/>
      <c r="E31" s="19"/>
      <c r="F31" s="25"/>
      <c r="G31" s="30">
        <f t="shared" si="5"/>
        <v>0</v>
      </c>
      <c r="I31" s="50">
        <v>3</v>
      </c>
      <c r="J31" s="85"/>
      <c r="K31" s="86"/>
      <c r="L31" s="4"/>
      <c r="M31" s="4"/>
      <c r="N31" s="91"/>
      <c r="O31" s="92"/>
      <c r="R31" s="10"/>
      <c r="S31" s="10"/>
      <c r="T31" s="10"/>
      <c r="U31" s="10"/>
      <c r="V31" s="10"/>
      <c r="W31" s="10"/>
      <c r="X31" s="10"/>
      <c r="Y31" s="10"/>
      <c r="Z31" s="10"/>
    </row>
    <row r="32" spans="2:26" ht="17.25" thickBot="1" x14ac:dyDescent="0.35">
      <c r="B32" s="32">
        <v>25</v>
      </c>
      <c r="C32" s="6"/>
      <c r="D32" s="5"/>
      <c r="E32" s="19"/>
      <c r="F32" s="25"/>
      <c r="G32" s="30">
        <f t="shared" si="5"/>
        <v>0</v>
      </c>
      <c r="I32" s="51">
        <v>4</v>
      </c>
      <c r="J32" s="95"/>
      <c r="K32" s="96"/>
      <c r="L32" s="37"/>
      <c r="M32" s="37"/>
      <c r="N32" s="93"/>
      <c r="O32" s="94"/>
      <c r="R32" s="10"/>
      <c r="S32" s="10"/>
      <c r="T32" s="10"/>
      <c r="U32" s="10"/>
      <c r="V32" s="10"/>
      <c r="W32" s="10"/>
      <c r="X32" s="10"/>
      <c r="Y32" s="10"/>
      <c r="Z32" s="10"/>
    </row>
    <row r="33" spans="2:26" x14ac:dyDescent="0.3">
      <c r="B33" s="32">
        <v>26</v>
      </c>
      <c r="C33" s="6"/>
      <c r="D33" s="5"/>
      <c r="E33" s="19"/>
      <c r="F33" s="25"/>
      <c r="G33" s="30">
        <f t="shared" si="5"/>
        <v>0</v>
      </c>
      <c r="I33" s="56" t="s">
        <v>81</v>
      </c>
      <c r="J33" s="56"/>
      <c r="K33" s="56"/>
      <c r="L33" s="56"/>
      <c r="M33" s="56"/>
      <c r="N33" s="56"/>
      <c r="O33" s="56"/>
      <c r="R33" s="10"/>
      <c r="S33" s="10"/>
      <c r="T33" s="10"/>
      <c r="U33" s="10"/>
      <c r="V33" s="10"/>
      <c r="W33" s="10"/>
      <c r="X33" s="10"/>
      <c r="Y33" s="10"/>
      <c r="Z33" s="10"/>
    </row>
    <row r="34" spans="2:26" ht="17.25" thickBot="1" x14ac:dyDescent="0.35">
      <c r="B34" s="49">
        <v>27</v>
      </c>
      <c r="C34" s="26"/>
      <c r="D34" s="27"/>
      <c r="E34" s="28"/>
      <c r="F34" s="29"/>
      <c r="G34" s="30">
        <f t="shared" si="5"/>
        <v>0</v>
      </c>
      <c r="I34" s="56"/>
      <c r="J34" s="56"/>
      <c r="K34" s="56"/>
      <c r="L34" s="56"/>
      <c r="M34" s="56"/>
      <c r="N34" s="56"/>
      <c r="O34" s="56"/>
      <c r="R34" s="10"/>
      <c r="S34" s="10"/>
      <c r="T34" s="10"/>
      <c r="U34" s="10"/>
      <c r="V34" s="10"/>
      <c r="W34" s="10"/>
      <c r="X34" s="10"/>
      <c r="Y34" s="10"/>
      <c r="Z34" s="10"/>
    </row>
    <row r="35" spans="2:26" s="10" customFormat="1" x14ac:dyDescent="0.3">
      <c r="G35" s="30"/>
      <c r="H35" s="30"/>
    </row>
    <row r="36" spans="2:26" s="10" customFormat="1" x14ac:dyDescent="0.3">
      <c r="G36" s="30"/>
      <c r="H36" s="30"/>
    </row>
    <row r="37" spans="2:26" s="10" customFormat="1" x14ac:dyDescent="0.3">
      <c r="G37" s="30"/>
      <c r="H37" s="30"/>
    </row>
    <row r="38" spans="2:26" s="10" customFormat="1" x14ac:dyDescent="0.3">
      <c r="G38" s="30"/>
      <c r="H38" s="30"/>
    </row>
    <row r="39" spans="2:26" s="10" customFormat="1" x14ac:dyDescent="0.3">
      <c r="G39" s="30"/>
      <c r="H39" s="30"/>
    </row>
    <row r="40" spans="2:26" s="10" customFormat="1" x14ac:dyDescent="0.3">
      <c r="G40" s="30"/>
      <c r="H40" s="30"/>
    </row>
    <row r="41" spans="2:26" s="10" customFormat="1" x14ac:dyDescent="0.3">
      <c r="G41" s="30"/>
      <c r="H41" s="30"/>
    </row>
    <row r="42" spans="2:26" s="10" customFormat="1" x14ac:dyDescent="0.3">
      <c r="G42" s="30"/>
      <c r="H42" s="30"/>
    </row>
  </sheetData>
  <mergeCells count="18">
    <mergeCell ref="R13:U14"/>
    <mergeCell ref="N30:O30"/>
    <mergeCell ref="N31:O31"/>
    <mergeCell ref="N32:O32"/>
    <mergeCell ref="J29:K29"/>
    <mergeCell ref="N29:O29"/>
    <mergeCell ref="J32:K32"/>
    <mergeCell ref="I33:O34"/>
    <mergeCell ref="L6:O7"/>
    <mergeCell ref="B3:C4"/>
    <mergeCell ref="D3:F4"/>
    <mergeCell ref="B6:F6"/>
    <mergeCell ref="I8:O8"/>
    <mergeCell ref="I6:K7"/>
    <mergeCell ref="J28:K28"/>
    <mergeCell ref="N28:O28"/>
    <mergeCell ref="J30:K30"/>
    <mergeCell ref="J31:K31"/>
  </mergeCells>
  <phoneticPr fontId="2" type="noConversion"/>
  <conditionalFormatting sqref="J10:O26">
    <cfRule type="expression" dxfId="18" priority="2">
      <formula>IF($O10=TRUE,TRUE,FALSE)</formula>
    </cfRule>
  </conditionalFormatting>
  <conditionalFormatting sqref="T7:U12">
    <cfRule type="expression" dxfId="17" priority="10">
      <formula>IF($S7&gt;0,TRUE,FALSE)</formula>
    </cfRule>
  </conditionalFormatting>
  <conditionalFormatting sqref="S7:S12">
    <cfRule type="expression" dxfId="16" priority="11">
      <formula>IF($T7&gt;0,TRUE,FALSE)</formula>
    </cfRule>
  </conditionalFormatting>
  <conditionalFormatting sqref="V8:V12 W7:W12">
    <cfRule type="cellIs" dxfId="15" priority="1" operator="equal">
      <formula>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43"/>
  <sheetViews>
    <sheetView tabSelected="1" zoomScale="85" zoomScaleNormal="85" workbookViewId="0">
      <selection activeCell="F9" sqref="F9"/>
    </sheetView>
  </sheetViews>
  <sheetFormatPr defaultRowHeight="16.5" x14ac:dyDescent="0.3"/>
  <cols>
    <col min="1" max="1" width="9" style="10"/>
    <col min="2" max="2" width="9.125" customWidth="1"/>
    <col min="3" max="33" width="6.625" customWidth="1"/>
    <col min="34" max="34" width="9" style="10"/>
    <col min="38" max="39" width="9" style="10"/>
  </cols>
  <sheetData>
    <row r="1" spans="1:37" s="10" customFormat="1" x14ac:dyDescent="0.3">
      <c r="B1" s="30"/>
      <c r="C1" s="30">
        <f>WEEKDAY(C2)</f>
        <v>2</v>
      </c>
      <c r="D1" s="30">
        <f t="shared" ref="D1:AE1" si="0">WEEKDAY(D2)</f>
        <v>3</v>
      </c>
      <c r="E1" s="30">
        <f t="shared" si="0"/>
        <v>4</v>
      </c>
      <c r="F1" s="30">
        <f t="shared" si="0"/>
        <v>5</v>
      </c>
      <c r="G1" s="30">
        <f t="shared" si="0"/>
        <v>6</v>
      </c>
      <c r="H1" s="30">
        <f t="shared" si="0"/>
        <v>7</v>
      </c>
      <c r="I1" s="30">
        <f t="shared" si="0"/>
        <v>1</v>
      </c>
      <c r="J1" s="30">
        <f t="shared" si="0"/>
        <v>2</v>
      </c>
      <c r="K1" s="30">
        <f t="shared" si="0"/>
        <v>3</v>
      </c>
      <c r="L1" s="30">
        <f t="shared" si="0"/>
        <v>4</v>
      </c>
      <c r="M1" s="30">
        <f t="shared" si="0"/>
        <v>5</v>
      </c>
      <c r="N1" s="30">
        <f t="shared" si="0"/>
        <v>6</v>
      </c>
      <c r="O1" s="30">
        <f t="shared" si="0"/>
        <v>7</v>
      </c>
      <c r="P1" s="30">
        <f t="shared" si="0"/>
        <v>1</v>
      </c>
      <c r="Q1" s="30">
        <f t="shared" si="0"/>
        <v>2</v>
      </c>
      <c r="R1" s="30">
        <f t="shared" si="0"/>
        <v>3</v>
      </c>
      <c r="S1" s="30">
        <f t="shared" si="0"/>
        <v>4</v>
      </c>
      <c r="T1" s="30">
        <f t="shared" si="0"/>
        <v>5</v>
      </c>
      <c r="U1" s="30">
        <f t="shared" si="0"/>
        <v>6</v>
      </c>
      <c r="V1" s="30">
        <f t="shared" si="0"/>
        <v>7</v>
      </c>
      <c r="W1" s="30">
        <f t="shared" si="0"/>
        <v>1</v>
      </c>
      <c r="X1" s="30">
        <f t="shared" si="0"/>
        <v>2</v>
      </c>
      <c r="Y1" s="30">
        <f t="shared" si="0"/>
        <v>3</v>
      </c>
      <c r="Z1" s="30">
        <f t="shared" si="0"/>
        <v>4</v>
      </c>
      <c r="AA1" s="30">
        <f t="shared" si="0"/>
        <v>5</v>
      </c>
      <c r="AB1" s="30">
        <f t="shared" si="0"/>
        <v>6</v>
      </c>
      <c r="AC1" s="30">
        <f t="shared" si="0"/>
        <v>7</v>
      </c>
      <c r="AD1" s="30">
        <f t="shared" si="0"/>
        <v>1</v>
      </c>
      <c r="AE1" s="30">
        <f t="shared" si="0"/>
        <v>2</v>
      </c>
      <c r="AF1" s="30">
        <f t="shared" ref="AF1" si="1">WEEKDAY(AF2)</f>
        <v>3</v>
      </c>
      <c r="AG1" s="30">
        <f t="shared" ref="AG1" si="2">WEEKDAY(AG2)</f>
        <v>4</v>
      </c>
    </row>
    <row r="2" spans="1:37" x14ac:dyDescent="0.3">
      <c r="A2" s="30">
        <v>0</v>
      </c>
      <c r="B2" s="8" t="s">
        <v>146</v>
      </c>
      <c r="C2" s="11">
        <f>DATE(AI3,AI6,1)</f>
        <v>43983</v>
      </c>
      <c r="D2" s="11">
        <f>C2+1</f>
        <v>43984</v>
      </c>
      <c r="E2" s="11">
        <f t="shared" ref="E2:AF2" si="3">D2+1</f>
        <v>43985</v>
      </c>
      <c r="F2" s="11">
        <f t="shared" si="3"/>
        <v>43986</v>
      </c>
      <c r="G2" s="11">
        <f t="shared" si="3"/>
        <v>43987</v>
      </c>
      <c r="H2" s="11">
        <f t="shared" si="3"/>
        <v>43988</v>
      </c>
      <c r="I2" s="11">
        <f t="shared" si="3"/>
        <v>43989</v>
      </c>
      <c r="J2" s="11">
        <f t="shared" si="3"/>
        <v>43990</v>
      </c>
      <c r="K2" s="11">
        <f t="shared" si="3"/>
        <v>43991</v>
      </c>
      <c r="L2" s="11">
        <f t="shared" si="3"/>
        <v>43992</v>
      </c>
      <c r="M2" s="11">
        <f t="shared" si="3"/>
        <v>43993</v>
      </c>
      <c r="N2" s="11">
        <f t="shared" si="3"/>
        <v>43994</v>
      </c>
      <c r="O2" s="11">
        <f t="shared" si="3"/>
        <v>43995</v>
      </c>
      <c r="P2" s="11">
        <f t="shared" si="3"/>
        <v>43996</v>
      </c>
      <c r="Q2" s="11">
        <f t="shared" si="3"/>
        <v>43997</v>
      </c>
      <c r="R2" s="11">
        <f t="shared" si="3"/>
        <v>43998</v>
      </c>
      <c r="S2" s="11">
        <f t="shared" si="3"/>
        <v>43999</v>
      </c>
      <c r="T2" s="11">
        <f t="shared" si="3"/>
        <v>44000</v>
      </c>
      <c r="U2" s="11">
        <f t="shared" si="3"/>
        <v>44001</v>
      </c>
      <c r="V2" s="11">
        <f t="shared" si="3"/>
        <v>44002</v>
      </c>
      <c r="W2" s="11">
        <f t="shared" si="3"/>
        <v>44003</v>
      </c>
      <c r="X2" s="11">
        <f t="shared" si="3"/>
        <v>44004</v>
      </c>
      <c r="Y2" s="11">
        <f t="shared" si="3"/>
        <v>44005</v>
      </c>
      <c r="Z2" s="11">
        <f t="shared" si="3"/>
        <v>44006</v>
      </c>
      <c r="AA2" s="11">
        <f t="shared" si="3"/>
        <v>44007</v>
      </c>
      <c r="AB2" s="11">
        <f t="shared" si="3"/>
        <v>44008</v>
      </c>
      <c r="AC2" s="11">
        <f t="shared" si="3"/>
        <v>44009</v>
      </c>
      <c r="AD2" s="11">
        <f t="shared" si="3"/>
        <v>44010</v>
      </c>
      <c r="AE2" s="11">
        <f t="shared" si="3"/>
        <v>44011</v>
      </c>
      <c r="AF2" s="11">
        <f t="shared" si="3"/>
        <v>44012</v>
      </c>
      <c r="AG2" s="11">
        <f>AF2+1</f>
        <v>44013</v>
      </c>
      <c r="AI2" s="107" t="s">
        <v>97</v>
      </c>
      <c r="AJ2" s="108"/>
      <c r="AK2" s="109"/>
    </row>
    <row r="3" spans="1:37" x14ac:dyDescent="0.3">
      <c r="A3" s="10">
        <v>1</v>
      </c>
      <c r="B3" s="8" t="s">
        <v>147</v>
      </c>
      <c r="C3" s="3"/>
      <c r="D3" s="3"/>
      <c r="E3" s="3"/>
      <c r="F3" s="3"/>
      <c r="G3" s="110" t="s">
        <v>177</v>
      </c>
      <c r="H3" s="111"/>
      <c r="I3" s="111"/>
      <c r="J3" s="111"/>
      <c r="K3" s="112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I3" s="98">
        <v>2020</v>
      </c>
      <c r="AJ3" s="99"/>
      <c r="AK3" s="100"/>
    </row>
    <row r="4" spans="1:37" ht="16.5" customHeight="1" x14ac:dyDescent="0.3">
      <c r="B4" s="8" t="s">
        <v>148</v>
      </c>
      <c r="C4" s="3"/>
      <c r="D4" s="3"/>
      <c r="E4" s="3"/>
      <c r="F4" s="110" t="s">
        <v>178</v>
      </c>
      <c r="G4" s="111"/>
      <c r="H4" s="111"/>
      <c r="I4" s="112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I4" s="101"/>
      <c r="AJ4" s="102"/>
      <c r="AK4" s="103"/>
    </row>
    <row r="5" spans="1:37" ht="16.5" customHeight="1" x14ac:dyDescent="0.3">
      <c r="B5" s="8" t="s">
        <v>149</v>
      </c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I5" s="104" t="s">
        <v>79</v>
      </c>
      <c r="AJ5" s="105"/>
      <c r="AK5" s="106"/>
    </row>
    <row r="6" spans="1:37" ht="16.5" customHeight="1" x14ac:dyDescent="0.3">
      <c r="B6" s="8" t="s">
        <v>150</v>
      </c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I6" s="98">
        <v>6</v>
      </c>
      <c r="AJ6" s="99"/>
      <c r="AK6" s="100"/>
    </row>
    <row r="7" spans="1:37" ht="16.5" customHeight="1" x14ac:dyDescent="0.3">
      <c r="B7" s="8" t="s">
        <v>151</v>
      </c>
      <c r="C7" s="3"/>
      <c r="D7" s="3"/>
      <c r="E7" s="3"/>
      <c r="F7" s="110" t="s">
        <v>177</v>
      </c>
      <c r="G7" s="111"/>
      <c r="H7" s="111"/>
      <c r="I7" s="112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I7" s="101"/>
      <c r="AJ7" s="102"/>
      <c r="AK7" s="103"/>
    </row>
    <row r="8" spans="1:37" x14ac:dyDescent="0.3">
      <c r="B8" s="8" t="s">
        <v>152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I8" s="10"/>
      <c r="AJ8" s="10"/>
      <c r="AK8" s="10"/>
    </row>
    <row r="9" spans="1:37" x14ac:dyDescent="0.3">
      <c r="B9" s="8" t="s">
        <v>153</v>
      </c>
      <c r="C9" s="110" t="s">
        <v>177</v>
      </c>
      <c r="D9" s="111"/>
      <c r="E9" s="112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I9" s="97"/>
      <c r="AJ9" s="97"/>
      <c r="AK9" s="97"/>
    </row>
    <row r="10" spans="1:37" x14ac:dyDescent="0.3">
      <c r="B10" s="8" t="s">
        <v>154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I10" s="97"/>
      <c r="AJ10" s="97"/>
      <c r="AK10" s="97"/>
    </row>
    <row r="11" spans="1:37" x14ac:dyDescent="0.3">
      <c r="B11" s="8" t="s">
        <v>155</v>
      </c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I11" s="97"/>
      <c r="AJ11" s="97"/>
      <c r="AK11" s="97"/>
    </row>
    <row r="12" spans="1:37" x14ac:dyDescent="0.3">
      <c r="B12" s="8" t="s">
        <v>156</v>
      </c>
      <c r="C12" s="3"/>
      <c r="D12" s="3"/>
      <c r="E12" s="3"/>
      <c r="F12" s="3"/>
      <c r="G12" s="3" t="s">
        <v>132</v>
      </c>
      <c r="H12" s="3" t="s">
        <v>133</v>
      </c>
      <c r="I12" s="3" t="s">
        <v>133</v>
      </c>
      <c r="J12" s="3" t="s">
        <v>134</v>
      </c>
      <c r="K12" s="3" t="s">
        <v>135</v>
      </c>
      <c r="L12" s="3" t="s">
        <v>135</v>
      </c>
      <c r="M12" s="3" t="s">
        <v>133</v>
      </c>
      <c r="N12" s="3" t="s">
        <v>135</v>
      </c>
      <c r="O12" s="3" t="s">
        <v>133</v>
      </c>
      <c r="P12" s="3" t="s">
        <v>136</v>
      </c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I12" s="10"/>
      <c r="AJ12" s="10"/>
      <c r="AK12" s="10"/>
    </row>
    <row r="13" spans="1:37" x14ac:dyDescent="0.3">
      <c r="B13" s="8" t="s">
        <v>157</v>
      </c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I13" s="10"/>
      <c r="AJ13" s="10"/>
      <c r="AK13" s="10"/>
    </row>
    <row r="14" spans="1:37" x14ac:dyDescent="0.3">
      <c r="B14" s="8" t="s">
        <v>158</v>
      </c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I14" s="10"/>
      <c r="AJ14" s="10"/>
      <c r="AK14" s="10"/>
    </row>
    <row r="15" spans="1:37" x14ac:dyDescent="0.3">
      <c r="B15" s="8" t="s">
        <v>159</v>
      </c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I15" s="10"/>
      <c r="AJ15" s="10"/>
      <c r="AK15" s="10"/>
    </row>
    <row r="16" spans="1:37" x14ac:dyDescent="0.3">
      <c r="B16" s="8" t="s">
        <v>160</v>
      </c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I16" s="10"/>
      <c r="AJ16" s="10"/>
      <c r="AK16" s="10"/>
    </row>
    <row r="17" spans="2:37" x14ac:dyDescent="0.3">
      <c r="B17" s="8" t="s">
        <v>161</v>
      </c>
      <c r="C17" s="3" t="s">
        <v>137</v>
      </c>
      <c r="D17" s="3" t="s">
        <v>134</v>
      </c>
      <c r="E17" s="3" t="s">
        <v>138</v>
      </c>
      <c r="F17" s="3" t="s">
        <v>138</v>
      </c>
      <c r="G17" s="3" t="s">
        <v>138</v>
      </c>
      <c r="H17" s="3" t="s">
        <v>134</v>
      </c>
      <c r="I17" s="3" t="s">
        <v>139</v>
      </c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I17" s="10"/>
      <c r="AJ17" s="10"/>
      <c r="AK17" s="10"/>
    </row>
    <row r="18" spans="2:37" x14ac:dyDescent="0.3">
      <c r="B18" s="8" t="s">
        <v>162</v>
      </c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140</v>
      </c>
      <c r="T18" s="3" t="s">
        <v>135</v>
      </c>
      <c r="U18" s="3" t="s">
        <v>138</v>
      </c>
      <c r="V18" s="3" t="s">
        <v>141</v>
      </c>
      <c r="W18" s="3" t="s">
        <v>142</v>
      </c>
      <c r="X18" s="3" t="s">
        <v>142</v>
      </c>
      <c r="Y18" s="3" t="s">
        <v>138</v>
      </c>
      <c r="Z18" s="3" t="s">
        <v>143</v>
      </c>
      <c r="AA18" s="3"/>
      <c r="AB18" s="3"/>
      <c r="AC18" s="3"/>
      <c r="AD18" s="3"/>
      <c r="AE18" s="3"/>
      <c r="AF18" s="3"/>
      <c r="AG18" s="3"/>
      <c r="AI18" s="10"/>
      <c r="AJ18" s="10"/>
      <c r="AK18" s="10"/>
    </row>
    <row r="19" spans="2:37" x14ac:dyDescent="0.3">
      <c r="B19" s="8" t="s">
        <v>163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I19" s="10"/>
      <c r="AJ19" s="10"/>
      <c r="AK19" s="10"/>
    </row>
    <row r="20" spans="2:37" x14ac:dyDescent="0.3">
      <c r="B20" s="8" t="s">
        <v>164</v>
      </c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I20" s="10"/>
      <c r="AJ20" s="10"/>
      <c r="AK20" s="10"/>
    </row>
    <row r="21" spans="2:37" x14ac:dyDescent="0.3">
      <c r="B21" s="8" t="s">
        <v>165</v>
      </c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I21" s="10"/>
      <c r="AJ21" s="10"/>
      <c r="AK21" s="10"/>
    </row>
    <row r="22" spans="2:37" x14ac:dyDescent="0.3">
      <c r="B22" s="8" t="s">
        <v>166</v>
      </c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I22" s="10"/>
      <c r="AJ22" s="10"/>
      <c r="AK22" s="10"/>
    </row>
    <row r="23" spans="2:37" x14ac:dyDescent="0.3">
      <c r="B23" s="8" t="s">
        <v>167</v>
      </c>
      <c r="C23" s="3"/>
      <c r="D23" s="3"/>
      <c r="E23" s="3"/>
      <c r="F23" s="3"/>
      <c r="G23" s="3" t="s">
        <v>140</v>
      </c>
      <c r="H23" s="3" t="s">
        <v>144</v>
      </c>
      <c r="I23" s="3" t="s">
        <v>134</v>
      </c>
      <c r="J23" s="3" t="s">
        <v>133</v>
      </c>
      <c r="K23" s="3" t="s">
        <v>135</v>
      </c>
      <c r="L23" s="3" t="s">
        <v>145</v>
      </c>
      <c r="M23" s="3" t="s">
        <v>143</v>
      </c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I23" s="10"/>
      <c r="AJ23" s="10"/>
      <c r="AK23" s="10"/>
    </row>
    <row r="24" spans="2:37" x14ac:dyDescent="0.3">
      <c r="B24" s="8" t="s">
        <v>168</v>
      </c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I24" s="10"/>
      <c r="AJ24" s="10"/>
      <c r="AK24" s="10"/>
    </row>
    <row r="25" spans="2:37" x14ac:dyDescent="0.3">
      <c r="B25" s="8" t="s">
        <v>169</v>
      </c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I25" s="10"/>
      <c r="AJ25" s="10"/>
      <c r="AK25" s="10"/>
    </row>
    <row r="26" spans="2:37" x14ac:dyDescent="0.3">
      <c r="B26" s="8" t="s">
        <v>170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I26" s="10"/>
      <c r="AJ26" s="10"/>
      <c r="AK26" s="10"/>
    </row>
    <row r="27" spans="2:37" x14ac:dyDescent="0.3">
      <c r="B27" s="8" t="s">
        <v>171</v>
      </c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I27" s="10"/>
      <c r="AJ27" s="10"/>
      <c r="AK27" s="10"/>
    </row>
    <row r="28" spans="2:37" x14ac:dyDescent="0.3">
      <c r="B28" s="8" t="s">
        <v>172</v>
      </c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I28" s="10"/>
      <c r="AJ28" s="10"/>
      <c r="AK28" s="10"/>
    </row>
    <row r="29" spans="2:37" x14ac:dyDescent="0.3">
      <c r="B29" s="8" t="s">
        <v>173</v>
      </c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I29" s="10"/>
      <c r="AJ29" s="10"/>
      <c r="AK29" s="10"/>
    </row>
    <row r="30" spans="2:37" x14ac:dyDescent="0.3">
      <c r="B30" s="8" t="s">
        <v>174</v>
      </c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I30" s="10"/>
      <c r="AJ30" s="10"/>
      <c r="AK30" s="10"/>
    </row>
    <row r="31" spans="2:37" x14ac:dyDescent="0.3">
      <c r="B31" s="8" t="s">
        <v>175</v>
      </c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I31" s="10"/>
      <c r="AJ31" s="10"/>
      <c r="AK31" s="10"/>
    </row>
    <row r="32" spans="2:37" ht="17.25" thickBot="1" x14ac:dyDescent="0.35">
      <c r="B32" s="8" t="s">
        <v>176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I32" s="10"/>
      <c r="AJ32" s="10"/>
      <c r="AK32" s="10"/>
    </row>
    <row r="33" spans="2:37" ht="17.25" thickTop="1" x14ac:dyDescent="0.3">
      <c r="B33" s="12" t="s">
        <v>95</v>
      </c>
      <c r="C33" s="53">
        <f>COUNTA(C3:C32)</f>
        <v>2</v>
      </c>
      <c r="D33" s="53">
        <f t="shared" ref="D33:AG33" si="4">COUNTA(D3:D32)</f>
        <v>1</v>
      </c>
      <c r="E33" s="53">
        <f t="shared" si="4"/>
        <v>1</v>
      </c>
      <c r="F33" s="53">
        <f t="shared" si="4"/>
        <v>3</v>
      </c>
      <c r="G33" s="54">
        <f t="shared" si="4"/>
        <v>4</v>
      </c>
      <c r="H33" s="54">
        <f t="shared" si="4"/>
        <v>3</v>
      </c>
      <c r="I33" s="54">
        <f t="shared" si="4"/>
        <v>3</v>
      </c>
      <c r="J33" s="53">
        <f t="shared" si="4"/>
        <v>2</v>
      </c>
      <c r="K33" s="53">
        <f t="shared" si="4"/>
        <v>2</v>
      </c>
      <c r="L33" s="53">
        <f t="shared" si="4"/>
        <v>2</v>
      </c>
      <c r="M33" s="53">
        <f t="shared" si="4"/>
        <v>2</v>
      </c>
      <c r="N33" s="53">
        <f t="shared" si="4"/>
        <v>1</v>
      </c>
      <c r="O33" s="53">
        <f t="shared" si="4"/>
        <v>1</v>
      </c>
      <c r="P33" s="53">
        <f t="shared" si="4"/>
        <v>1</v>
      </c>
      <c r="Q33" s="53">
        <f t="shared" si="4"/>
        <v>0</v>
      </c>
      <c r="R33" s="53">
        <f t="shared" si="4"/>
        <v>0</v>
      </c>
      <c r="S33" s="53">
        <f t="shared" si="4"/>
        <v>1</v>
      </c>
      <c r="T33" s="53">
        <f t="shared" si="4"/>
        <v>1</v>
      </c>
      <c r="U33" s="53">
        <f t="shared" si="4"/>
        <v>1</v>
      </c>
      <c r="V33" s="53">
        <f t="shared" si="4"/>
        <v>1</v>
      </c>
      <c r="W33" s="53">
        <f t="shared" si="4"/>
        <v>1</v>
      </c>
      <c r="X33" s="53">
        <f t="shared" si="4"/>
        <v>1</v>
      </c>
      <c r="Y33" s="53">
        <f t="shared" si="4"/>
        <v>1</v>
      </c>
      <c r="Z33" s="53">
        <f t="shared" si="4"/>
        <v>1</v>
      </c>
      <c r="AA33" s="53">
        <f t="shared" si="4"/>
        <v>0</v>
      </c>
      <c r="AB33" s="53">
        <f t="shared" si="4"/>
        <v>0</v>
      </c>
      <c r="AC33" s="53">
        <f t="shared" si="4"/>
        <v>0</v>
      </c>
      <c r="AD33" s="53">
        <f t="shared" si="4"/>
        <v>0</v>
      </c>
      <c r="AE33" s="53">
        <f t="shared" si="4"/>
        <v>0</v>
      </c>
      <c r="AF33" s="53">
        <f t="shared" si="4"/>
        <v>0</v>
      </c>
      <c r="AG33" s="53">
        <f t="shared" si="4"/>
        <v>0</v>
      </c>
      <c r="AI33" s="10"/>
      <c r="AJ33" s="10"/>
      <c r="AK33" s="10"/>
    </row>
    <row r="34" spans="2:37" x14ac:dyDescent="0.3">
      <c r="B34" s="8" t="s">
        <v>96</v>
      </c>
      <c r="C34" s="20">
        <f>C33/30</f>
        <v>6.6666666666666666E-2</v>
      </c>
      <c r="D34" s="20">
        <f t="shared" ref="D34:AG34" si="5">D33/30</f>
        <v>3.3333333333333333E-2</v>
      </c>
      <c r="E34" s="20">
        <f t="shared" si="5"/>
        <v>3.3333333333333333E-2</v>
      </c>
      <c r="F34" s="20">
        <f t="shared" si="5"/>
        <v>0.1</v>
      </c>
      <c r="G34" s="55">
        <f t="shared" si="5"/>
        <v>0.13333333333333333</v>
      </c>
      <c r="H34" s="55">
        <f t="shared" si="5"/>
        <v>0.1</v>
      </c>
      <c r="I34" s="55">
        <f t="shared" si="5"/>
        <v>0.1</v>
      </c>
      <c r="J34" s="20">
        <f t="shared" si="5"/>
        <v>6.6666666666666666E-2</v>
      </c>
      <c r="K34" s="20">
        <f t="shared" si="5"/>
        <v>6.6666666666666666E-2</v>
      </c>
      <c r="L34" s="20">
        <f t="shared" si="5"/>
        <v>6.6666666666666666E-2</v>
      </c>
      <c r="M34" s="20">
        <f t="shared" si="5"/>
        <v>6.6666666666666666E-2</v>
      </c>
      <c r="N34" s="20">
        <f t="shared" si="5"/>
        <v>3.3333333333333333E-2</v>
      </c>
      <c r="O34" s="20">
        <f t="shared" si="5"/>
        <v>3.3333333333333333E-2</v>
      </c>
      <c r="P34" s="20">
        <f t="shared" si="5"/>
        <v>3.3333333333333333E-2</v>
      </c>
      <c r="Q34" s="20">
        <f t="shared" si="5"/>
        <v>0</v>
      </c>
      <c r="R34" s="20">
        <f t="shared" si="5"/>
        <v>0</v>
      </c>
      <c r="S34" s="20">
        <f t="shared" si="5"/>
        <v>3.3333333333333333E-2</v>
      </c>
      <c r="T34" s="20">
        <f t="shared" si="5"/>
        <v>3.3333333333333333E-2</v>
      </c>
      <c r="U34" s="20">
        <f t="shared" si="5"/>
        <v>3.3333333333333333E-2</v>
      </c>
      <c r="V34" s="20">
        <f t="shared" si="5"/>
        <v>3.3333333333333333E-2</v>
      </c>
      <c r="W34" s="20">
        <f t="shared" si="5"/>
        <v>3.3333333333333333E-2</v>
      </c>
      <c r="X34" s="20">
        <f t="shared" si="5"/>
        <v>3.3333333333333333E-2</v>
      </c>
      <c r="Y34" s="20">
        <f t="shared" si="5"/>
        <v>3.3333333333333333E-2</v>
      </c>
      <c r="Z34" s="20">
        <f t="shared" si="5"/>
        <v>3.3333333333333333E-2</v>
      </c>
      <c r="AA34" s="20">
        <f t="shared" si="5"/>
        <v>0</v>
      </c>
      <c r="AB34" s="20">
        <f t="shared" si="5"/>
        <v>0</v>
      </c>
      <c r="AC34" s="20">
        <f t="shared" si="5"/>
        <v>0</v>
      </c>
      <c r="AD34" s="20">
        <f t="shared" si="5"/>
        <v>0</v>
      </c>
      <c r="AE34" s="20">
        <f t="shared" si="5"/>
        <v>0</v>
      </c>
      <c r="AF34" s="20">
        <f t="shared" si="5"/>
        <v>0</v>
      </c>
      <c r="AG34" s="20">
        <f t="shared" si="5"/>
        <v>0</v>
      </c>
      <c r="AI34" s="10"/>
      <c r="AJ34" s="10"/>
      <c r="AK34" s="10"/>
    </row>
    <row r="35" spans="2:37" x14ac:dyDescent="0.3">
      <c r="B35" s="10"/>
      <c r="C35" s="10"/>
      <c r="D35" s="10"/>
      <c r="E35" s="10"/>
      <c r="F35" s="10"/>
      <c r="G35" s="10"/>
      <c r="H35" s="10" t="s">
        <v>128</v>
      </c>
      <c r="I35" s="10" t="s">
        <v>129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I35" s="10"/>
      <c r="AJ35" s="10"/>
      <c r="AK35" s="10"/>
    </row>
    <row r="36" spans="2:37" x14ac:dyDescent="0.3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I36" s="10"/>
      <c r="AJ36" s="10"/>
      <c r="AK36" s="10"/>
    </row>
    <row r="37" spans="2:37" x14ac:dyDescent="0.3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I37" s="10"/>
      <c r="AJ37" s="10"/>
      <c r="AK37" s="10"/>
    </row>
    <row r="38" spans="2:37" x14ac:dyDescent="0.3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I38" s="10"/>
      <c r="AJ38" s="10"/>
      <c r="AK38" s="10"/>
    </row>
    <row r="39" spans="2:37" x14ac:dyDescent="0.3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I39" s="10"/>
      <c r="AJ39" s="10"/>
      <c r="AK39" s="10"/>
    </row>
    <row r="40" spans="2:37" x14ac:dyDescent="0.3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I40" s="10"/>
      <c r="AJ40" s="10"/>
      <c r="AK40" s="10"/>
    </row>
    <row r="41" spans="2:37" x14ac:dyDescent="0.3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I41" s="10"/>
      <c r="AJ41" s="10"/>
      <c r="AK41" s="10"/>
    </row>
    <row r="42" spans="2:37" x14ac:dyDescent="0.3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I42" s="10"/>
      <c r="AJ42" s="10"/>
      <c r="AK42" s="10"/>
    </row>
    <row r="43" spans="2:37" x14ac:dyDescent="0.3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I43" s="10"/>
      <c r="AJ43" s="10"/>
      <c r="AK43" s="10"/>
    </row>
  </sheetData>
  <mergeCells count="9">
    <mergeCell ref="G3:K3"/>
    <mergeCell ref="F4:I4"/>
    <mergeCell ref="F7:I7"/>
    <mergeCell ref="C9:E9"/>
    <mergeCell ref="AI9:AK11"/>
    <mergeCell ref="AI6:AK7"/>
    <mergeCell ref="AI5:AK5"/>
    <mergeCell ref="AI3:AK4"/>
    <mergeCell ref="AI2:AK2"/>
  </mergeCells>
  <phoneticPr fontId="2" type="noConversion"/>
  <conditionalFormatting sqref="C2:AG2">
    <cfRule type="expression" dxfId="14" priority="8">
      <formula>IF(C$1=1,TRUE,FALSE)</formula>
    </cfRule>
    <cfRule type="expression" dxfId="13" priority="9">
      <formula>IF(C$1=7,TRUE,FALSE)</formula>
    </cfRule>
  </conditionalFormatting>
  <conditionalFormatting sqref="C5:AG6 C3:G3 L3:AG3 C4:F4 J4:AG4 C8:AG8 C7:F7 J7:AG7 C10:AG32 C9 F9:AG9">
    <cfRule type="cellIs" dxfId="12" priority="2" operator="equal">
      <formula>"복"</formula>
    </cfRule>
    <cfRule type="cellIs" dxfId="11" priority="3" operator="equal">
      <formula>"휴"</formula>
    </cfRule>
    <cfRule type="cellIs" dxfId="10" priority="4" operator="equal">
      <formula>"출"</formula>
    </cfRule>
    <cfRule type="expression" dxfId="9" priority="5">
      <formula>AND(IF(LEN(C3)=0,TRUE,FALSE),IF(C$1=1,TRUE,FALSE))</formula>
    </cfRule>
    <cfRule type="expression" dxfId="8" priority="7">
      <formula>AND(IF(LEN(C3)=0,TRUE,FALSE),IF(C$1=7,TRUE,FALSE))</formula>
    </cfRule>
    <cfRule type="cellIs" dxfId="7" priority="1" operator="equal">
      <formula>"ㅇ"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L28" sqref="L28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장병DataBase</vt:lpstr>
      <vt:lpstr>특별휴가</vt:lpstr>
      <vt:lpstr>장병휴가 사용</vt:lpstr>
      <vt:lpstr>각장병 휴가 관리</vt:lpstr>
      <vt:lpstr>월별 한눈에 보기</vt:lpstr>
      <vt:lpstr>주단위 출타 장병</vt:lpstr>
      <vt:lpstr>인원 별 휴가 한번에 보기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2020-04-05T06:08:52Z</dcterms:created>
  <dcterms:modified xsi:type="dcterms:W3CDTF">2020-04-14T10:28:00Z</dcterms:modified>
</cp:coreProperties>
</file>